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/filer/"/>
    </mc:Choice>
  </mc:AlternateContent>
  <xr:revisionPtr revIDLastSave="0" documentId="8_{5CFC1E5E-70E8-9D45-AAF8-81C7F3B6DEBF}" xr6:coauthVersionLast="47" xr6:coauthVersionMax="47" xr10:uidLastSave="{00000000-0000-0000-0000-000000000000}"/>
  <bookViews>
    <workbookView xWindow="20" yWindow="1480" windowWidth="15420" windowHeight="16340" firstSheet="4" activeTab="5" xr2:uid="{EB92B7C5-D0E8-B149-999D-EDC81102B5E1}"/>
  </bookViews>
  <sheets>
    <sheet name="Historiske finansielle tall" sheetId="1" r:id="rId1"/>
    <sheet name="WACC" sheetId="8" r:id="rId2"/>
    <sheet name="Antagelser" sheetId="3" r:id="rId3"/>
    <sheet name="Forecast Base" sheetId="2" r:id="rId4"/>
    <sheet name="Forecast Bear" sheetId="5" r:id="rId5"/>
    <sheet name="Forecast Bull" sheetId="6" r:id="rId6"/>
    <sheet name="DCF" sheetId="4" r:id="rId7"/>
    <sheet name="Reverse DCF" sheetId="7" r:id="rId8"/>
    <sheet name="Peer Analys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3" i="1" l="1"/>
  <c r="E103" i="1" s="1"/>
  <c r="D104" i="1"/>
  <c r="E104" i="1" s="1"/>
  <c r="D105" i="1"/>
  <c r="D106" i="1"/>
  <c r="D107" i="1"/>
  <c r="C103" i="1"/>
  <c r="C104" i="1"/>
  <c r="C105" i="1"/>
  <c r="E105" i="1" s="1"/>
  <c r="C106" i="1"/>
  <c r="E106" i="1" s="1"/>
  <c r="C107" i="1"/>
  <c r="E107" i="1" s="1"/>
  <c r="D102" i="1"/>
  <c r="E102" i="1" s="1"/>
  <c r="C102" i="1"/>
  <c r="D73" i="1"/>
  <c r="E73" i="1"/>
  <c r="F73" i="1"/>
  <c r="G73" i="1"/>
  <c r="H73" i="1"/>
  <c r="H77" i="1" s="1"/>
  <c r="C73" i="1"/>
  <c r="F76" i="1"/>
  <c r="D84" i="1"/>
  <c r="E84" i="1"/>
  <c r="F84" i="1"/>
  <c r="G84" i="1"/>
  <c r="H84" i="1"/>
  <c r="B84" i="1"/>
  <c r="D82" i="1"/>
  <c r="E82" i="1"/>
  <c r="F82" i="1"/>
  <c r="G82" i="1"/>
  <c r="H82" i="1"/>
  <c r="C82" i="1"/>
  <c r="B83" i="1"/>
  <c r="F77" i="1"/>
  <c r="G77" i="1"/>
  <c r="C77" i="1"/>
  <c r="D76" i="1"/>
  <c r="E76" i="1"/>
  <c r="E78" i="1" s="1"/>
  <c r="G76" i="1"/>
  <c r="H76" i="1"/>
  <c r="D74" i="1"/>
  <c r="E74" i="1"/>
  <c r="C74" i="1"/>
  <c r="C76" i="1" s="1"/>
  <c r="D72" i="1"/>
  <c r="E72" i="1"/>
  <c r="E77" i="1" s="1"/>
  <c r="C72" i="1"/>
  <c r="C51" i="9"/>
  <c r="D55" i="1"/>
  <c r="E55" i="1"/>
  <c r="F55" i="1"/>
  <c r="G55" i="1"/>
  <c r="H55" i="1"/>
  <c r="I55" i="1"/>
  <c r="C55" i="1"/>
  <c r="D54" i="1"/>
  <c r="E54" i="1"/>
  <c r="F54" i="1"/>
  <c r="G54" i="1"/>
  <c r="H54" i="1"/>
  <c r="I54" i="1"/>
  <c r="C54" i="1"/>
  <c r="O36" i="6"/>
  <c r="N36" i="6"/>
  <c r="M36" i="6"/>
  <c r="L36" i="6"/>
  <c r="K36" i="6"/>
  <c r="J36" i="6"/>
  <c r="I36" i="6"/>
  <c r="H36" i="6"/>
  <c r="G36" i="6"/>
  <c r="O32" i="6"/>
  <c r="N32" i="6"/>
  <c r="N35" i="6" s="1"/>
  <c r="M32" i="6"/>
  <c r="L32" i="6"/>
  <c r="L35" i="6" s="1"/>
  <c r="K32" i="6"/>
  <c r="J32" i="6"/>
  <c r="J35" i="6" s="1"/>
  <c r="I32" i="6"/>
  <c r="H32" i="6"/>
  <c r="G32" i="6"/>
  <c r="O36" i="5"/>
  <c r="N36" i="5"/>
  <c r="M36" i="5"/>
  <c r="L36" i="5"/>
  <c r="K36" i="5"/>
  <c r="J36" i="5"/>
  <c r="I36" i="5"/>
  <c r="H36" i="5"/>
  <c r="G36" i="5"/>
  <c r="O32" i="5"/>
  <c r="N32" i="5"/>
  <c r="M32" i="5"/>
  <c r="M35" i="5" s="1"/>
  <c r="L32" i="5"/>
  <c r="L35" i="5" s="1"/>
  <c r="K32" i="5"/>
  <c r="K35" i="5" s="1"/>
  <c r="J32" i="5"/>
  <c r="J33" i="5" s="1"/>
  <c r="I32" i="5"/>
  <c r="I33" i="5" s="1"/>
  <c r="H32" i="5"/>
  <c r="G32" i="5"/>
  <c r="C6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40" i="8"/>
  <c r="D25" i="9"/>
  <c r="E25" i="9"/>
  <c r="H25" i="9"/>
  <c r="I25" i="9"/>
  <c r="I24" i="9"/>
  <c r="H24" i="9"/>
  <c r="E24" i="9"/>
  <c r="D24" i="9"/>
  <c r="D23" i="9"/>
  <c r="E23" i="9"/>
  <c r="H23" i="9"/>
  <c r="I23" i="9"/>
  <c r="D22" i="9"/>
  <c r="E22" i="9"/>
  <c r="H22" i="9"/>
  <c r="I22" i="9"/>
  <c r="I21" i="9"/>
  <c r="H21" i="9"/>
  <c r="E21" i="9"/>
  <c r="D21" i="9"/>
  <c r="F26" i="9"/>
  <c r="F27" i="9" s="1"/>
  <c r="G26" i="9"/>
  <c r="G27" i="9" s="1"/>
  <c r="J26" i="9"/>
  <c r="K26" i="9"/>
  <c r="K27" i="9" s="1"/>
  <c r="L26" i="9"/>
  <c r="L27" i="9" s="1"/>
  <c r="J19" i="9"/>
  <c r="I19" i="9"/>
  <c r="H19" i="9"/>
  <c r="E19" i="9"/>
  <c r="D19" i="9"/>
  <c r="H76" i="7"/>
  <c r="I76" i="7"/>
  <c r="J76" i="7"/>
  <c r="K76" i="7"/>
  <c r="L76" i="7"/>
  <c r="J19" i="7"/>
  <c r="J62" i="7" s="1"/>
  <c r="K19" i="7"/>
  <c r="K62" i="7" s="1"/>
  <c r="I13" i="7"/>
  <c r="H19" i="7" s="1"/>
  <c r="H62" i="7" s="1"/>
  <c r="J13" i="7"/>
  <c r="I19" i="7" s="1"/>
  <c r="I62" i="7" s="1"/>
  <c r="K13" i="7"/>
  <c r="L13" i="7"/>
  <c r="M13" i="7"/>
  <c r="L19" i="7" s="1"/>
  <c r="L62" i="7" s="1"/>
  <c r="H57" i="6"/>
  <c r="I57" i="6"/>
  <c r="J57" i="6"/>
  <c r="K57" i="6"/>
  <c r="L57" i="6"/>
  <c r="L51" i="6"/>
  <c r="H51" i="6"/>
  <c r="I51" i="6"/>
  <c r="J51" i="6"/>
  <c r="K51" i="6"/>
  <c r="M40" i="6"/>
  <c r="N40" i="6"/>
  <c r="O40" i="6"/>
  <c r="K40" i="6"/>
  <c r="M35" i="6"/>
  <c r="O35" i="6"/>
  <c r="K25" i="6"/>
  <c r="L25" i="6"/>
  <c r="M25" i="6"/>
  <c r="N25" i="6"/>
  <c r="O25" i="6"/>
  <c r="M40" i="5"/>
  <c r="N40" i="5"/>
  <c r="O40" i="5"/>
  <c r="K40" i="5"/>
  <c r="K16" i="6"/>
  <c r="L16" i="6"/>
  <c r="M16" i="6"/>
  <c r="N16" i="6"/>
  <c r="O16" i="6"/>
  <c r="K7" i="6"/>
  <c r="L7" i="6"/>
  <c r="M7" i="6"/>
  <c r="N7" i="6"/>
  <c r="O7" i="6"/>
  <c r="H57" i="5"/>
  <c r="I57" i="5"/>
  <c r="J57" i="5"/>
  <c r="K57" i="5"/>
  <c r="L57" i="5"/>
  <c r="K51" i="5"/>
  <c r="L51" i="5"/>
  <c r="H51" i="5"/>
  <c r="I51" i="5"/>
  <c r="J51" i="5"/>
  <c r="N35" i="5"/>
  <c r="O35" i="5"/>
  <c r="K33" i="5"/>
  <c r="O33" i="5"/>
  <c r="K25" i="5"/>
  <c r="L25" i="5"/>
  <c r="M25" i="5"/>
  <c r="N25" i="5"/>
  <c r="O25" i="5"/>
  <c r="K16" i="5"/>
  <c r="L16" i="5"/>
  <c r="M16" i="5"/>
  <c r="N16" i="5"/>
  <c r="O16" i="5"/>
  <c r="K7" i="5"/>
  <c r="L7" i="5"/>
  <c r="M7" i="5"/>
  <c r="N7" i="5"/>
  <c r="O7" i="5"/>
  <c r="K5" i="5"/>
  <c r="L5" i="5" s="1"/>
  <c r="I28" i="3"/>
  <c r="J28" i="3"/>
  <c r="K28" i="3"/>
  <c r="L28" i="3"/>
  <c r="H28" i="3"/>
  <c r="L40" i="2"/>
  <c r="L40" i="6" s="1"/>
  <c r="L37" i="2"/>
  <c r="L38" i="2" s="1"/>
  <c r="M37" i="2"/>
  <c r="M38" i="2" s="1"/>
  <c r="O35" i="2"/>
  <c r="O37" i="2" s="1"/>
  <c r="O38" i="2" s="1"/>
  <c r="K35" i="2"/>
  <c r="K37" i="2" s="1"/>
  <c r="K38" i="2" s="1"/>
  <c r="L35" i="2"/>
  <c r="M35" i="2"/>
  <c r="N35" i="2"/>
  <c r="N37" i="2" s="1"/>
  <c r="N38" i="2" s="1"/>
  <c r="K33" i="2"/>
  <c r="L33" i="2"/>
  <c r="M33" i="2"/>
  <c r="N33" i="2"/>
  <c r="O33" i="2"/>
  <c r="H57" i="2"/>
  <c r="I57" i="2"/>
  <c r="J57" i="2"/>
  <c r="K57" i="2"/>
  <c r="L57" i="2"/>
  <c r="H51" i="2"/>
  <c r="I51" i="2"/>
  <c r="J51" i="2"/>
  <c r="K51" i="2"/>
  <c r="L51" i="2"/>
  <c r="K25" i="2"/>
  <c r="L25" i="2"/>
  <c r="M25" i="2"/>
  <c r="N25" i="2"/>
  <c r="O25" i="2"/>
  <c r="K16" i="2"/>
  <c r="L16" i="2"/>
  <c r="M16" i="2"/>
  <c r="N16" i="2"/>
  <c r="O16" i="2"/>
  <c r="K7" i="2"/>
  <c r="L7" i="2"/>
  <c r="M7" i="2"/>
  <c r="N7" i="2"/>
  <c r="O7" i="2"/>
  <c r="C96" i="7"/>
  <c r="C95" i="7"/>
  <c r="D76" i="7"/>
  <c r="E76" i="7"/>
  <c r="F76" i="7"/>
  <c r="G76" i="7"/>
  <c r="C76" i="7"/>
  <c r="E28" i="2"/>
  <c r="D26" i="2"/>
  <c r="D28" i="2" s="1"/>
  <c r="D29" i="2" s="1"/>
  <c r="E26" i="2"/>
  <c r="E24" i="2"/>
  <c r="D19" i="2"/>
  <c r="D20" i="2" s="1"/>
  <c r="E19" i="2"/>
  <c r="E20" i="2" s="1"/>
  <c r="D17" i="2"/>
  <c r="E17" i="2"/>
  <c r="E15" i="2"/>
  <c r="D8" i="2"/>
  <c r="D10" i="2" s="1"/>
  <c r="D11" i="2" s="1"/>
  <c r="E8" i="2"/>
  <c r="E10" i="2" s="1"/>
  <c r="E11" i="2" s="1"/>
  <c r="E6" i="2"/>
  <c r="C48" i="7"/>
  <c r="C47" i="7"/>
  <c r="H13" i="7"/>
  <c r="G19" i="7" s="1"/>
  <c r="G62" i="7" s="1"/>
  <c r="G70" i="7" s="1"/>
  <c r="D13" i="7"/>
  <c r="C19" i="7" s="1"/>
  <c r="C62" i="7" s="1"/>
  <c r="C70" i="7" s="1"/>
  <c r="E13" i="7"/>
  <c r="D19" i="7" s="1"/>
  <c r="D62" i="7" s="1"/>
  <c r="D70" i="7" s="1"/>
  <c r="F13" i="7"/>
  <c r="E19" i="7" s="1"/>
  <c r="E62" i="7" s="1"/>
  <c r="E70" i="7" s="1"/>
  <c r="G13" i="7"/>
  <c r="F19" i="7" s="1"/>
  <c r="F62" i="7" s="1"/>
  <c r="F70" i="7" s="1"/>
  <c r="C13" i="7"/>
  <c r="C4" i="7"/>
  <c r="C17" i="8"/>
  <c r="C16" i="8"/>
  <c r="D57" i="6"/>
  <c r="E57" i="6"/>
  <c r="F57" i="6"/>
  <c r="G57" i="6"/>
  <c r="C57" i="6"/>
  <c r="F27" i="6"/>
  <c r="G27" i="6" s="1"/>
  <c r="H27" i="6" s="1"/>
  <c r="I27" i="6" s="1"/>
  <c r="J27" i="6" s="1"/>
  <c r="K27" i="6" s="1"/>
  <c r="L27" i="6" s="1"/>
  <c r="M27" i="6" s="1"/>
  <c r="N27" i="6" s="1"/>
  <c r="O27" i="6" s="1"/>
  <c r="G25" i="6"/>
  <c r="H25" i="6"/>
  <c r="I25" i="6"/>
  <c r="J25" i="6"/>
  <c r="F25" i="6"/>
  <c r="F23" i="6"/>
  <c r="F24" i="6" s="1"/>
  <c r="F18" i="6"/>
  <c r="G18" i="6" s="1"/>
  <c r="H18" i="6" s="1"/>
  <c r="I18" i="6" s="1"/>
  <c r="J18" i="6" s="1"/>
  <c r="K18" i="6" s="1"/>
  <c r="L18" i="6" s="1"/>
  <c r="M18" i="6" s="1"/>
  <c r="N18" i="6" s="1"/>
  <c r="O18" i="6" s="1"/>
  <c r="G16" i="6"/>
  <c r="H16" i="6"/>
  <c r="I16" i="6"/>
  <c r="J16" i="6"/>
  <c r="F16" i="6"/>
  <c r="F14" i="6"/>
  <c r="G14" i="6" s="1"/>
  <c r="H14" i="6" s="1"/>
  <c r="I14" i="6" s="1"/>
  <c r="J14" i="6" s="1"/>
  <c r="K14" i="6" s="1"/>
  <c r="L14" i="6" s="1"/>
  <c r="M14" i="6" s="1"/>
  <c r="N14" i="6" s="1"/>
  <c r="O14" i="6" s="1"/>
  <c r="O17" i="6" s="1"/>
  <c r="F9" i="6"/>
  <c r="G9" i="6" s="1"/>
  <c r="H9" i="6" s="1"/>
  <c r="I9" i="6" s="1"/>
  <c r="J9" i="6" s="1"/>
  <c r="K9" i="6" s="1"/>
  <c r="L9" i="6" s="1"/>
  <c r="M9" i="6" s="1"/>
  <c r="N9" i="6" s="1"/>
  <c r="O9" i="6" s="1"/>
  <c r="G7" i="6"/>
  <c r="H7" i="6"/>
  <c r="I7" i="6"/>
  <c r="J7" i="6"/>
  <c r="F7" i="6"/>
  <c r="F5" i="6"/>
  <c r="F6" i="6" s="1"/>
  <c r="G51" i="6"/>
  <c r="F51" i="6"/>
  <c r="E51" i="6"/>
  <c r="D51" i="6"/>
  <c r="C51" i="6"/>
  <c r="E44" i="6"/>
  <c r="D44" i="6"/>
  <c r="D45" i="6" s="1"/>
  <c r="C44" i="6"/>
  <c r="F40" i="6"/>
  <c r="E37" i="6"/>
  <c r="E38" i="6" s="1"/>
  <c r="I35" i="6"/>
  <c r="I37" i="6" s="1"/>
  <c r="I38" i="6" s="1"/>
  <c r="H35" i="6"/>
  <c r="H37" i="6" s="1"/>
  <c r="H38" i="6" s="1"/>
  <c r="G35" i="6"/>
  <c r="G37" i="6" s="1"/>
  <c r="G38" i="6" s="1"/>
  <c r="F35" i="6"/>
  <c r="F37" i="6" s="1"/>
  <c r="F38" i="6" s="1"/>
  <c r="E35" i="6"/>
  <c r="D35" i="6"/>
  <c r="C35" i="6"/>
  <c r="G33" i="6"/>
  <c r="F33" i="6"/>
  <c r="E33" i="6"/>
  <c r="D33" i="6"/>
  <c r="E26" i="6"/>
  <c r="E28" i="6" s="1"/>
  <c r="E29" i="6" s="1"/>
  <c r="D26" i="6"/>
  <c r="D28" i="6" s="1"/>
  <c r="D29" i="6" s="1"/>
  <c r="C26" i="6"/>
  <c r="C28" i="6" s="1"/>
  <c r="C29" i="6" s="1"/>
  <c r="E24" i="6"/>
  <c r="D24" i="6"/>
  <c r="E17" i="6"/>
  <c r="E19" i="6" s="1"/>
  <c r="E20" i="6" s="1"/>
  <c r="D17" i="6"/>
  <c r="D19" i="6" s="1"/>
  <c r="D20" i="6" s="1"/>
  <c r="C17" i="6"/>
  <c r="C19" i="6" s="1"/>
  <c r="C20" i="6" s="1"/>
  <c r="E15" i="6"/>
  <c r="D15" i="6"/>
  <c r="E8" i="6"/>
  <c r="E10" i="6" s="1"/>
  <c r="D8" i="6"/>
  <c r="D10" i="6" s="1"/>
  <c r="C8" i="6"/>
  <c r="C10" i="6" s="1"/>
  <c r="E6" i="6"/>
  <c r="D6" i="6"/>
  <c r="D57" i="5"/>
  <c r="E57" i="5"/>
  <c r="F57" i="5"/>
  <c r="G57" i="5"/>
  <c r="C57" i="5"/>
  <c r="F27" i="5"/>
  <c r="G27" i="5" s="1"/>
  <c r="H27" i="5" s="1"/>
  <c r="I27" i="5" s="1"/>
  <c r="J27" i="5" s="1"/>
  <c r="K27" i="5" s="1"/>
  <c r="L27" i="5" s="1"/>
  <c r="M27" i="5" s="1"/>
  <c r="N27" i="5" s="1"/>
  <c r="O27" i="5" s="1"/>
  <c r="G25" i="5"/>
  <c r="H25" i="5"/>
  <c r="I25" i="5"/>
  <c r="J25" i="5"/>
  <c r="F25" i="5"/>
  <c r="F23" i="5"/>
  <c r="G23" i="5" s="1"/>
  <c r="H23" i="5" s="1"/>
  <c r="I23" i="5" s="1"/>
  <c r="J23" i="5" s="1"/>
  <c r="K23" i="5" s="1"/>
  <c r="L23" i="5" s="1"/>
  <c r="M23" i="5" s="1"/>
  <c r="N23" i="5" s="1"/>
  <c r="O23" i="5" s="1"/>
  <c r="O24" i="5" s="1"/>
  <c r="F18" i="5"/>
  <c r="G18" i="5" s="1"/>
  <c r="H18" i="5" s="1"/>
  <c r="I18" i="5" s="1"/>
  <c r="J18" i="5" s="1"/>
  <c r="K18" i="5" s="1"/>
  <c r="L18" i="5" s="1"/>
  <c r="M18" i="5" s="1"/>
  <c r="N18" i="5" s="1"/>
  <c r="O18" i="5" s="1"/>
  <c r="G16" i="5"/>
  <c r="H16" i="5"/>
  <c r="I16" i="5"/>
  <c r="J16" i="5"/>
  <c r="F16" i="5"/>
  <c r="F14" i="5"/>
  <c r="G14" i="5" s="1"/>
  <c r="H14" i="5" s="1"/>
  <c r="I14" i="5" s="1"/>
  <c r="J14" i="5" s="1"/>
  <c r="K14" i="5" s="1"/>
  <c r="F9" i="5"/>
  <c r="G9" i="5" s="1"/>
  <c r="H9" i="5" s="1"/>
  <c r="I9" i="5" s="1"/>
  <c r="J9" i="5" s="1"/>
  <c r="K9" i="5" s="1"/>
  <c r="L9" i="5" s="1"/>
  <c r="M9" i="5" s="1"/>
  <c r="N9" i="5" s="1"/>
  <c r="O9" i="5" s="1"/>
  <c r="G7" i="5"/>
  <c r="H7" i="5"/>
  <c r="I7" i="5"/>
  <c r="J7" i="5"/>
  <c r="F7" i="5"/>
  <c r="F5" i="5"/>
  <c r="G5" i="5" s="1"/>
  <c r="H5" i="5" s="1"/>
  <c r="I5" i="5" s="1"/>
  <c r="J5" i="5" s="1"/>
  <c r="G51" i="5"/>
  <c r="F51" i="5"/>
  <c r="E51" i="5"/>
  <c r="D51" i="5"/>
  <c r="C51" i="5"/>
  <c r="E44" i="5"/>
  <c r="D44" i="5"/>
  <c r="C44" i="5"/>
  <c r="F40" i="5"/>
  <c r="J35" i="5"/>
  <c r="J37" i="5" s="1"/>
  <c r="J38" i="5" s="1"/>
  <c r="G35" i="5"/>
  <c r="F35" i="5"/>
  <c r="E35" i="5"/>
  <c r="E37" i="5" s="1"/>
  <c r="E38" i="5" s="1"/>
  <c r="D35" i="5"/>
  <c r="C35" i="5"/>
  <c r="G33" i="5"/>
  <c r="F33" i="5"/>
  <c r="E33" i="5"/>
  <c r="D33" i="5"/>
  <c r="E26" i="5"/>
  <c r="E28" i="5" s="1"/>
  <c r="E29" i="5" s="1"/>
  <c r="D26" i="5"/>
  <c r="D28" i="5" s="1"/>
  <c r="D29" i="5" s="1"/>
  <c r="C26" i="5"/>
  <c r="C28" i="5" s="1"/>
  <c r="C29" i="5" s="1"/>
  <c r="E24" i="5"/>
  <c r="D24" i="5"/>
  <c r="E17" i="5"/>
  <c r="D17" i="5"/>
  <c r="D19" i="5" s="1"/>
  <c r="D20" i="5" s="1"/>
  <c r="C17" i="5"/>
  <c r="C19" i="5" s="1"/>
  <c r="C20" i="5" s="1"/>
  <c r="E15" i="5"/>
  <c r="D15" i="5"/>
  <c r="E8" i="5"/>
  <c r="E10" i="5" s="1"/>
  <c r="D8" i="5"/>
  <c r="D10" i="5" s="1"/>
  <c r="C8" i="5"/>
  <c r="C10" i="5" s="1"/>
  <c r="C11" i="5" s="1"/>
  <c r="E6" i="5"/>
  <c r="D6" i="5"/>
  <c r="C70" i="4"/>
  <c r="C69" i="4"/>
  <c r="C46" i="4"/>
  <c r="C45" i="4"/>
  <c r="C5" i="4"/>
  <c r="C6" i="1"/>
  <c r="C22" i="4"/>
  <c r="C20" i="8" s="1"/>
  <c r="C21" i="4"/>
  <c r="C5" i="9" s="1"/>
  <c r="D57" i="2"/>
  <c r="E57" i="2"/>
  <c r="F57" i="2"/>
  <c r="G57" i="2"/>
  <c r="C57" i="2"/>
  <c r="C12" i="8" s="1"/>
  <c r="C13" i="8" s="1"/>
  <c r="C31" i="8" s="1"/>
  <c r="D51" i="2"/>
  <c r="E51" i="2"/>
  <c r="F51" i="2"/>
  <c r="G51" i="2"/>
  <c r="C51" i="2"/>
  <c r="C37" i="2"/>
  <c r="E37" i="2"/>
  <c r="E38" i="2" s="1"/>
  <c r="F27" i="2"/>
  <c r="G27" i="2" s="1"/>
  <c r="H27" i="2" s="1"/>
  <c r="I27" i="2" s="1"/>
  <c r="J27" i="2" s="1"/>
  <c r="K27" i="2" s="1"/>
  <c r="L27" i="2" s="1"/>
  <c r="M27" i="2" s="1"/>
  <c r="N27" i="2" s="1"/>
  <c r="O27" i="2" s="1"/>
  <c r="G25" i="2"/>
  <c r="H25" i="2"/>
  <c r="I25" i="2"/>
  <c r="J25" i="2"/>
  <c r="F25" i="2"/>
  <c r="F23" i="2"/>
  <c r="F24" i="2" s="1"/>
  <c r="F18" i="2"/>
  <c r="G16" i="2"/>
  <c r="H16" i="2"/>
  <c r="I16" i="2"/>
  <c r="J16" i="2"/>
  <c r="F16" i="2"/>
  <c r="F14" i="2"/>
  <c r="G14" i="2" s="1"/>
  <c r="G15" i="2" s="1"/>
  <c r="F9" i="2"/>
  <c r="G9" i="2" s="1"/>
  <c r="H9" i="2" s="1"/>
  <c r="I9" i="2" s="1"/>
  <c r="J9" i="2" s="1"/>
  <c r="K9" i="2" s="1"/>
  <c r="L9" i="2" s="1"/>
  <c r="M9" i="2" s="1"/>
  <c r="N9" i="2" s="1"/>
  <c r="O9" i="2" s="1"/>
  <c r="G7" i="2"/>
  <c r="H7" i="2"/>
  <c r="I7" i="2"/>
  <c r="J7" i="2"/>
  <c r="F7" i="2"/>
  <c r="F5" i="2"/>
  <c r="G5" i="2" s="1"/>
  <c r="H5" i="2" s="1"/>
  <c r="I5" i="2" s="1"/>
  <c r="J5" i="2" s="1"/>
  <c r="K5" i="2" s="1"/>
  <c r="L5" i="2" s="1"/>
  <c r="M5" i="2" s="1"/>
  <c r="N5" i="2" s="1"/>
  <c r="O5" i="2" s="1"/>
  <c r="F40" i="2"/>
  <c r="D24" i="2"/>
  <c r="D15" i="2"/>
  <c r="D6" i="2"/>
  <c r="C38" i="2"/>
  <c r="F35" i="2"/>
  <c r="F37" i="2" s="1"/>
  <c r="F38" i="2" s="1"/>
  <c r="G35" i="2"/>
  <c r="G37" i="2" s="1"/>
  <c r="G38" i="2" s="1"/>
  <c r="H35" i="2"/>
  <c r="H37" i="2" s="1"/>
  <c r="H38" i="2" s="1"/>
  <c r="I35" i="2"/>
  <c r="I37" i="2" s="1"/>
  <c r="I38" i="2" s="1"/>
  <c r="J35" i="2"/>
  <c r="J37" i="2" s="1"/>
  <c r="J38" i="2" s="1"/>
  <c r="C35" i="2"/>
  <c r="D35" i="2"/>
  <c r="D37" i="2" s="1"/>
  <c r="D38" i="2" s="1"/>
  <c r="E35" i="2"/>
  <c r="J33" i="2"/>
  <c r="E33" i="2"/>
  <c r="F33" i="2"/>
  <c r="G33" i="2"/>
  <c r="H33" i="2"/>
  <c r="I33" i="2"/>
  <c r="D33" i="2"/>
  <c r="E29" i="2"/>
  <c r="C26" i="2"/>
  <c r="C28" i="2" s="1"/>
  <c r="C29" i="2" s="1"/>
  <c r="C17" i="2"/>
  <c r="C19" i="2" s="1"/>
  <c r="C20" i="2" s="1"/>
  <c r="C8" i="2"/>
  <c r="C10" i="2" s="1"/>
  <c r="D44" i="2"/>
  <c r="D45" i="2" s="1"/>
  <c r="E44" i="2"/>
  <c r="C44" i="2"/>
  <c r="C39" i="1"/>
  <c r="D39" i="1"/>
  <c r="E39" i="1"/>
  <c r="F39" i="1"/>
  <c r="G39" i="1"/>
  <c r="H39" i="1"/>
  <c r="I39" i="1"/>
  <c r="D35" i="1"/>
  <c r="E35" i="1"/>
  <c r="F35" i="1"/>
  <c r="G35" i="1"/>
  <c r="H35" i="1"/>
  <c r="I35" i="1"/>
  <c r="C108" i="1" s="1"/>
  <c r="J35" i="1"/>
  <c r="D108" i="1" s="1"/>
  <c r="C35" i="1"/>
  <c r="D23" i="1"/>
  <c r="E23" i="1"/>
  <c r="E25" i="1" s="1"/>
  <c r="E26" i="1" s="1"/>
  <c r="D41" i="1" s="1"/>
  <c r="F23" i="1"/>
  <c r="E40" i="1" s="1"/>
  <c r="G23" i="1"/>
  <c r="F40" i="1" s="1"/>
  <c r="H23" i="1"/>
  <c r="H25" i="1" s="1"/>
  <c r="H26" i="1" s="1"/>
  <c r="G41" i="1" s="1"/>
  <c r="I23" i="1"/>
  <c r="I25" i="1" s="1"/>
  <c r="I26" i="1" s="1"/>
  <c r="H41" i="1" s="1"/>
  <c r="J23" i="1"/>
  <c r="J25" i="1" s="1"/>
  <c r="J26" i="1" s="1"/>
  <c r="I41" i="1" s="1"/>
  <c r="C23" i="1"/>
  <c r="C16" i="1"/>
  <c r="C17" i="1" s="1"/>
  <c r="D16" i="1"/>
  <c r="D17" i="1" s="1"/>
  <c r="E16" i="1"/>
  <c r="E17" i="1" s="1"/>
  <c r="G16" i="1"/>
  <c r="G17" i="1" s="1"/>
  <c r="H16" i="1"/>
  <c r="H17" i="1" s="1"/>
  <c r="I16" i="1"/>
  <c r="I17" i="1" s="1"/>
  <c r="J16" i="1"/>
  <c r="J17" i="1" s="1"/>
  <c r="F16" i="1"/>
  <c r="F17" i="1" s="1"/>
  <c r="E80" i="1" l="1"/>
  <c r="E83" i="1"/>
  <c r="E108" i="1"/>
  <c r="I33" i="6"/>
  <c r="L8" i="5"/>
  <c r="H33" i="5"/>
  <c r="J37" i="6"/>
  <c r="J38" i="6" s="1"/>
  <c r="C78" i="1"/>
  <c r="C83" i="1" s="1"/>
  <c r="E45" i="6"/>
  <c r="M33" i="6"/>
  <c r="F78" i="1"/>
  <c r="I35" i="5"/>
  <c r="I37" i="5" s="1"/>
  <c r="I38" i="5" s="1"/>
  <c r="N37" i="6"/>
  <c r="O19" i="6"/>
  <c r="O20" i="6" s="1"/>
  <c r="D77" i="1"/>
  <c r="D78" i="1" s="1"/>
  <c r="N33" i="6"/>
  <c r="H33" i="6"/>
  <c r="K17" i="6"/>
  <c r="K19" i="6" s="1"/>
  <c r="K20" i="6" s="1"/>
  <c r="O33" i="6"/>
  <c r="G5" i="6"/>
  <c r="H5" i="6" s="1"/>
  <c r="I5" i="6" s="1"/>
  <c r="J5" i="6" s="1"/>
  <c r="K5" i="6" s="1"/>
  <c r="K33" i="6"/>
  <c r="N15" i="6"/>
  <c r="O15" i="6"/>
  <c r="N17" i="6"/>
  <c r="N19" i="6" s="1"/>
  <c r="N20" i="6" s="1"/>
  <c r="L17" i="6"/>
  <c r="L19" i="6" s="1"/>
  <c r="L20" i="6" s="1"/>
  <c r="K15" i="6"/>
  <c r="K35" i="6"/>
  <c r="K37" i="6" s="1"/>
  <c r="M17" i="6"/>
  <c r="M19" i="6" s="1"/>
  <c r="M20" i="6" s="1"/>
  <c r="L15" i="6"/>
  <c r="F15" i="6"/>
  <c r="J33" i="6"/>
  <c r="M15" i="6"/>
  <c r="C46" i="6"/>
  <c r="C47" i="6" s="1"/>
  <c r="H35" i="5"/>
  <c r="H37" i="5" s="1"/>
  <c r="H38" i="5" s="1"/>
  <c r="L33" i="5"/>
  <c r="D45" i="5"/>
  <c r="K8" i="5"/>
  <c r="K6" i="5"/>
  <c r="N33" i="5"/>
  <c r="K44" i="5"/>
  <c r="H52" i="5" s="1"/>
  <c r="H61" i="5" s="1"/>
  <c r="M33" i="5"/>
  <c r="K37" i="5"/>
  <c r="K38" i="5" s="1"/>
  <c r="F15" i="5"/>
  <c r="L37" i="5"/>
  <c r="L38" i="5" s="1"/>
  <c r="C11" i="2"/>
  <c r="C41" i="2"/>
  <c r="C48" i="2" s="1"/>
  <c r="L40" i="5"/>
  <c r="F17" i="2"/>
  <c r="F19" i="2" s="1"/>
  <c r="F20" i="2" s="1"/>
  <c r="K8" i="2"/>
  <c r="K10" i="2" s="1"/>
  <c r="L33" i="6"/>
  <c r="F26" i="2"/>
  <c r="F28" i="2" s="1"/>
  <c r="F29" i="2" s="1"/>
  <c r="G17" i="2"/>
  <c r="E45" i="2"/>
  <c r="C19" i="8"/>
  <c r="D80" i="1"/>
  <c r="D83" i="1"/>
  <c r="H78" i="1"/>
  <c r="H80" i="1" s="1"/>
  <c r="G78" i="1"/>
  <c r="G80" i="1" s="1"/>
  <c r="F80" i="1"/>
  <c r="F83" i="1"/>
  <c r="O37" i="6"/>
  <c r="N38" i="6"/>
  <c r="M37" i="6"/>
  <c r="L37" i="6"/>
  <c r="K38" i="6"/>
  <c r="O37" i="5"/>
  <c r="O38" i="5" s="1"/>
  <c r="N37" i="5"/>
  <c r="N38" i="5" s="1"/>
  <c r="M37" i="5"/>
  <c r="M38" i="5" s="1"/>
  <c r="E26" i="9"/>
  <c r="E27" i="9" s="1"/>
  <c r="D26" i="9"/>
  <c r="J27" i="9"/>
  <c r="D27" i="9"/>
  <c r="C35" i="9"/>
  <c r="H26" i="9"/>
  <c r="H27" i="9" s="1"/>
  <c r="I26" i="9"/>
  <c r="J8" i="2"/>
  <c r="J10" i="2" s="1"/>
  <c r="J11" i="2" s="1"/>
  <c r="C8" i="8"/>
  <c r="C29" i="8" s="1"/>
  <c r="C18" i="8"/>
  <c r="H60" i="5"/>
  <c r="L10" i="5"/>
  <c r="K10" i="5"/>
  <c r="L14" i="5"/>
  <c r="L44" i="5" s="1"/>
  <c r="I52" i="5" s="1"/>
  <c r="I61" i="5" s="1"/>
  <c r="K17" i="5"/>
  <c r="K19" i="5" s="1"/>
  <c r="K20" i="5" s="1"/>
  <c r="K15" i="5"/>
  <c r="F17" i="5"/>
  <c r="F19" i="5" s="1"/>
  <c r="F20" i="5" s="1"/>
  <c r="N24" i="5"/>
  <c r="M24" i="5"/>
  <c r="M26" i="5"/>
  <c r="M28" i="5" s="1"/>
  <c r="M29" i="5" s="1"/>
  <c r="O26" i="5"/>
  <c r="O28" i="5" s="1"/>
  <c r="O29" i="5" s="1"/>
  <c r="L24" i="5"/>
  <c r="L26" i="5"/>
  <c r="L28" i="5" s="1"/>
  <c r="L29" i="5" s="1"/>
  <c r="C46" i="5"/>
  <c r="C47" i="5" s="1"/>
  <c r="E46" i="5"/>
  <c r="E47" i="5" s="1"/>
  <c r="E19" i="5"/>
  <c r="E20" i="5" s="1"/>
  <c r="K24" i="5"/>
  <c r="K26" i="5"/>
  <c r="K28" i="5" s="1"/>
  <c r="K29" i="5" s="1"/>
  <c r="N26" i="5"/>
  <c r="N28" i="5" s="1"/>
  <c r="N29" i="5" s="1"/>
  <c r="M5" i="5"/>
  <c r="M8" i="5" s="1"/>
  <c r="M10" i="5" s="1"/>
  <c r="L6" i="5"/>
  <c r="L6" i="2"/>
  <c r="L8" i="2"/>
  <c r="F6" i="2"/>
  <c r="G8" i="2"/>
  <c r="G10" i="2" s="1"/>
  <c r="G11" i="2" s="1"/>
  <c r="F15" i="2"/>
  <c r="F8" i="2"/>
  <c r="F10" i="2" s="1"/>
  <c r="F11" i="2" s="1"/>
  <c r="K6" i="2"/>
  <c r="E45" i="5"/>
  <c r="G23" i="6"/>
  <c r="H23" i="6" s="1"/>
  <c r="I23" i="6" s="1"/>
  <c r="J23" i="6" s="1"/>
  <c r="K23" i="6" s="1"/>
  <c r="J6" i="2"/>
  <c r="F24" i="5"/>
  <c r="I6" i="2"/>
  <c r="H6" i="2"/>
  <c r="I8" i="2"/>
  <c r="I10" i="2" s="1"/>
  <c r="I11" i="2" s="1"/>
  <c r="D46" i="5"/>
  <c r="D47" i="5" s="1"/>
  <c r="D46" i="6"/>
  <c r="D47" i="6" s="1"/>
  <c r="G6" i="2"/>
  <c r="H8" i="2"/>
  <c r="H10" i="2" s="1"/>
  <c r="H11" i="2" s="1"/>
  <c r="C21" i="8"/>
  <c r="G24" i="6"/>
  <c r="G26" i="6"/>
  <c r="C11" i="6"/>
  <c r="D11" i="6"/>
  <c r="E41" i="6"/>
  <c r="E48" i="6" s="1"/>
  <c r="E49" i="6" s="1"/>
  <c r="E11" i="6"/>
  <c r="E46" i="6"/>
  <c r="E47" i="6" s="1"/>
  <c r="F17" i="6"/>
  <c r="F19" i="6" s="1"/>
  <c r="F20" i="6" s="1"/>
  <c r="F8" i="6"/>
  <c r="F10" i="6" s="1"/>
  <c r="F44" i="6"/>
  <c r="F26" i="6"/>
  <c r="C37" i="6"/>
  <c r="C38" i="6" s="1"/>
  <c r="D37" i="6"/>
  <c r="D38" i="6" s="1"/>
  <c r="G8" i="5"/>
  <c r="G10" i="5" s="1"/>
  <c r="G6" i="5"/>
  <c r="D11" i="5"/>
  <c r="E41" i="5"/>
  <c r="E48" i="5" s="1"/>
  <c r="E49" i="5" s="1"/>
  <c r="E11" i="5"/>
  <c r="G24" i="5"/>
  <c r="G26" i="5"/>
  <c r="G28" i="5" s="1"/>
  <c r="G29" i="5" s="1"/>
  <c r="F37" i="5"/>
  <c r="F38" i="5" s="1"/>
  <c r="F6" i="5"/>
  <c r="G17" i="5"/>
  <c r="G37" i="5"/>
  <c r="G38" i="5" s="1"/>
  <c r="F44" i="5"/>
  <c r="F26" i="5"/>
  <c r="F28" i="5" s="1"/>
  <c r="F29" i="5" s="1"/>
  <c r="C37" i="5"/>
  <c r="C38" i="5" s="1"/>
  <c r="F8" i="5"/>
  <c r="F10" i="5" s="1"/>
  <c r="D37" i="5"/>
  <c r="D38" i="5" s="1"/>
  <c r="D46" i="2"/>
  <c r="D47" i="2" s="1"/>
  <c r="G23" i="2"/>
  <c r="H14" i="2"/>
  <c r="H15" i="2" s="1"/>
  <c r="D41" i="2"/>
  <c r="D48" i="2" s="1"/>
  <c r="D49" i="2" s="1"/>
  <c r="E36" i="1"/>
  <c r="D69" i="1" s="1"/>
  <c r="D40" i="1"/>
  <c r="D36" i="1"/>
  <c r="C69" i="1" s="1"/>
  <c r="D25" i="1"/>
  <c r="D26" i="1" s="1"/>
  <c r="C41" i="1" s="1"/>
  <c r="G18" i="2"/>
  <c r="G19" i="2" s="1"/>
  <c r="G20" i="2" s="1"/>
  <c r="F44" i="2"/>
  <c r="C20" i="7" s="1"/>
  <c r="C63" i="7" s="1"/>
  <c r="C66" i="7" s="1"/>
  <c r="C67" i="7" s="1"/>
  <c r="E41" i="2"/>
  <c r="E48" i="2" s="1"/>
  <c r="E49" i="2" s="1"/>
  <c r="C14" i="7" s="1"/>
  <c r="C16" i="7" s="1"/>
  <c r="E46" i="2"/>
  <c r="E47" i="2" s="1"/>
  <c r="C46" i="2"/>
  <c r="C47" i="2" s="1"/>
  <c r="C49" i="2"/>
  <c r="C40" i="1"/>
  <c r="H40" i="1"/>
  <c r="I40" i="1"/>
  <c r="G40" i="1"/>
  <c r="I36" i="1"/>
  <c r="H69" i="1" s="1"/>
  <c r="H36" i="1"/>
  <c r="G69" i="1" s="1"/>
  <c r="G36" i="1"/>
  <c r="F69" i="1" s="1"/>
  <c r="F36" i="1"/>
  <c r="E69" i="1" s="1"/>
  <c r="C36" i="1"/>
  <c r="C25" i="1"/>
  <c r="C26" i="1" s="1"/>
  <c r="F25" i="1"/>
  <c r="F26" i="1" s="1"/>
  <c r="E41" i="1" s="1"/>
  <c r="G25" i="1"/>
  <c r="G26" i="1" s="1"/>
  <c r="F41" i="1" s="1"/>
  <c r="J36" i="1"/>
  <c r="I69" i="1" s="1"/>
  <c r="H83" i="1" l="1"/>
  <c r="L45" i="5"/>
  <c r="G83" i="1"/>
  <c r="G8" i="6"/>
  <c r="G10" i="6" s="1"/>
  <c r="G6" i="6"/>
  <c r="G44" i="6"/>
  <c r="G45" i="6" s="1"/>
  <c r="D41" i="6"/>
  <c r="D48" i="6" s="1"/>
  <c r="D49" i="6" s="1"/>
  <c r="L5" i="6"/>
  <c r="K8" i="6"/>
  <c r="K10" i="6" s="1"/>
  <c r="K6" i="6"/>
  <c r="L23" i="6"/>
  <c r="K26" i="6"/>
  <c r="K28" i="6" s="1"/>
  <c r="K29" i="6" s="1"/>
  <c r="K24" i="6"/>
  <c r="K44" i="6"/>
  <c r="H52" i="6" s="1"/>
  <c r="H59" i="5"/>
  <c r="K46" i="5"/>
  <c r="K47" i="5" s="1"/>
  <c r="H55" i="5"/>
  <c r="I60" i="5"/>
  <c r="I59" i="5"/>
  <c r="I55" i="5"/>
  <c r="F20" i="9"/>
  <c r="F28" i="9" s="1"/>
  <c r="I27" i="9"/>
  <c r="O38" i="6"/>
  <c r="M38" i="6"/>
  <c r="L38" i="6"/>
  <c r="C22" i="8"/>
  <c r="C23" i="8" s="1"/>
  <c r="C28" i="8" s="1"/>
  <c r="I62" i="5"/>
  <c r="K11" i="5"/>
  <c r="K41" i="5"/>
  <c r="K48" i="5" s="1"/>
  <c r="M11" i="5"/>
  <c r="L11" i="5"/>
  <c r="M14" i="5"/>
  <c r="M44" i="5" s="1"/>
  <c r="L15" i="5"/>
  <c r="L17" i="5"/>
  <c r="L19" i="5" s="1"/>
  <c r="L20" i="5" s="1"/>
  <c r="C41" i="5"/>
  <c r="C48" i="5" s="1"/>
  <c r="C49" i="5" s="1"/>
  <c r="N5" i="5"/>
  <c r="N8" i="5" s="1"/>
  <c r="N10" i="5" s="1"/>
  <c r="M6" i="5"/>
  <c r="L10" i="2"/>
  <c r="K11" i="2"/>
  <c r="M6" i="2"/>
  <c r="M8" i="2"/>
  <c r="F41" i="2"/>
  <c r="F48" i="2" s="1"/>
  <c r="I14" i="2"/>
  <c r="J14" i="2" s="1"/>
  <c r="K14" i="2" s="1"/>
  <c r="H17" i="2"/>
  <c r="F46" i="2"/>
  <c r="F47" i="2" s="1"/>
  <c r="G26" i="2"/>
  <c r="G28" i="2" s="1"/>
  <c r="G29" i="2" s="1"/>
  <c r="G24" i="2"/>
  <c r="G44" i="2"/>
  <c r="G45" i="2" s="1"/>
  <c r="C71" i="7"/>
  <c r="C80" i="7" s="1"/>
  <c r="C81" i="7" s="1"/>
  <c r="F28" i="6"/>
  <c r="F29" i="6" s="1"/>
  <c r="F46" i="6"/>
  <c r="F47" i="6" s="1"/>
  <c r="G11" i="6"/>
  <c r="H8" i="6"/>
  <c r="H10" i="6" s="1"/>
  <c r="H6" i="6"/>
  <c r="F11" i="6"/>
  <c r="C41" i="6"/>
  <c r="C48" i="6" s="1"/>
  <c r="C49" i="6" s="1"/>
  <c r="G28" i="6"/>
  <c r="G29" i="6" s="1"/>
  <c r="G15" i="6"/>
  <c r="G17" i="6"/>
  <c r="G19" i="6" s="1"/>
  <c r="G20" i="6" s="1"/>
  <c r="C52" i="6"/>
  <c r="F45" i="6"/>
  <c r="H26" i="6"/>
  <c r="H24" i="6"/>
  <c r="F46" i="5"/>
  <c r="F47" i="5" s="1"/>
  <c r="G19" i="5"/>
  <c r="G20" i="5" s="1"/>
  <c r="G46" i="5"/>
  <c r="F45" i="5"/>
  <c r="C52" i="5"/>
  <c r="F11" i="5"/>
  <c r="F41" i="5"/>
  <c r="F48" i="5" s="1"/>
  <c r="H8" i="5"/>
  <c r="H10" i="5" s="1"/>
  <c r="H6" i="5"/>
  <c r="H26" i="5"/>
  <c r="H24" i="5"/>
  <c r="G15" i="5"/>
  <c r="D41" i="5"/>
  <c r="D48" i="5" s="1"/>
  <c r="D49" i="5" s="1"/>
  <c r="G44" i="5"/>
  <c r="G11" i="5"/>
  <c r="H23" i="2"/>
  <c r="C53" i="2"/>
  <c r="F49" i="2"/>
  <c r="C52" i="2"/>
  <c r="F45" i="2"/>
  <c r="H18" i="2"/>
  <c r="D52" i="2" l="1"/>
  <c r="D52" i="6"/>
  <c r="G41" i="5"/>
  <c r="G48" i="5" s="1"/>
  <c r="L46" i="5"/>
  <c r="L47" i="5" s="1"/>
  <c r="H61" i="6"/>
  <c r="H55" i="6"/>
  <c r="H60" i="6"/>
  <c r="H59" i="6"/>
  <c r="K46" i="6"/>
  <c r="K47" i="6" s="1"/>
  <c r="K11" i="6"/>
  <c r="K41" i="6"/>
  <c r="K48" i="6" s="1"/>
  <c r="M23" i="6"/>
  <c r="L26" i="6"/>
  <c r="L24" i="6"/>
  <c r="L44" i="6"/>
  <c r="M5" i="6"/>
  <c r="L8" i="6"/>
  <c r="L10" i="6" s="1"/>
  <c r="L6" i="6"/>
  <c r="J52" i="5"/>
  <c r="M45" i="5"/>
  <c r="L41" i="5"/>
  <c r="L48" i="5" s="1"/>
  <c r="L14" i="2"/>
  <c r="K17" i="2"/>
  <c r="D20" i="7"/>
  <c r="D63" i="7" s="1"/>
  <c r="D66" i="7" s="1"/>
  <c r="D71" i="7" s="1"/>
  <c r="D80" i="7" s="1"/>
  <c r="D81" i="7" s="1"/>
  <c r="J20" i="9"/>
  <c r="J28" i="9" s="1"/>
  <c r="D64" i="7"/>
  <c r="H20" i="9"/>
  <c r="H28" i="9" s="1"/>
  <c r="G46" i="2"/>
  <c r="G47" i="2" s="1"/>
  <c r="C64" i="7"/>
  <c r="D20" i="9"/>
  <c r="D28" i="9" s="1"/>
  <c r="C24" i="8"/>
  <c r="C30" i="8" s="1"/>
  <c r="C26" i="8"/>
  <c r="D67" i="7"/>
  <c r="D78" i="7"/>
  <c r="K49" i="5"/>
  <c r="H54" i="5" s="1"/>
  <c r="H53" i="5"/>
  <c r="H56" i="5" s="1"/>
  <c r="H58" i="5" s="1"/>
  <c r="I53" i="5"/>
  <c r="I56" i="5" s="1"/>
  <c r="I58" i="5" s="1"/>
  <c r="I63" i="5" s="1"/>
  <c r="L49" i="5"/>
  <c r="I54" i="5" s="1"/>
  <c r="N11" i="5"/>
  <c r="N14" i="5"/>
  <c r="N44" i="5" s="1"/>
  <c r="M15" i="5"/>
  <c r="M17" i="5"/>
  <c r="O5" i="5"/>
  <c r="N6" i="5"/>
  <c r="M10" i="2"/>
  <c r="L11" i="2"/>
  <c r="N8" i="2"/>
  <c r="N6" i="2"/>
  <c r="C60" i="6"/>
  <c r="C61" i="6"/>
  <c r="C62" i="6" s="1"/>
  <c r="C59" i="6"/>
  <c r="C55" i="6"/>
  <c r="D61" i="6"/>
  <c r="D59" i="6"/>
  <c r="D55" i="6"/>
  <c r="D60" i="6"/>
  <c r="C78" i="7"/>
  <c r="H19" i="2"/>
  <c r="H20" i="2" s="1"/>
  <c r="J15" i="2"/>
  <c r="K15" i="2"/>
  <c r="J17" i="2"/>
  <c r="H26" i="2"/>
  <c r="H28" i="2" s="1"/>
  <c r="H24" i="2"/>
  <c r="C74" i="7"/>
  <c r="I15" i="2"/>
  <c r="I17" i="2"/>
  <c r="C79" i="7"/>
  <c r="C54" i="2"/>
  <c r="D14" i="7"/>
  <c r="C72" i="7" s="1"/>
  <c r="C73" i="7" s="1"/>
  <c r="C32" i="8"/>
  <c r="C79" i="1" s="1"/>
  <c r="C60" i="5"/>
  <c r="C55" i="5"/>
  <c r="C59" i="5"/>
  <c r="C61" i="5"/>
  <c r="C62" i="5" s="1"/>
  <c r="F41" i="6"/>
  <c r="F48" i="6" s="1"/>
  <c r="F49" i="6" s="1"/>
  <c r="C54" i="6" s="1"/>
  <c r="H28" i="6"/>
  <c r="H29" i="6" s="1"/>
  <c r="H11" i="6"/>
  <c r="I6" i="6"/>
  <c r="I8" i="6"/>
  <c r="I10" i="6" s="1"/>
  <c r="H17" i="6"/>
  <c r="H19" i="6" s="1"/>
  <c r="H20" i="6" s="1"/>
  <c r="H15" i="6"/>
  <c r="G41" i="6"/>
  <c r="G48" i="6" s="1"/>
  <c r="G46" i="6"/>
  <c r="G47" i="6" s="1"/>
  <c r="I44" i="6"/>
  <c r="I24" i="6"/>
  <c r="I26" i="6"/>
  <c r="H44" i="6"/>
  <c r="G49" i="5"/>
  <c r="D54" i="5" s="1"/>
  <c r="D53" i="5"/>
  <c r="D52" i="5"/>
  <c r="G45" i="5"/>
  <c r="H11" i="5"/>
  <c r="I8" i="5"/>
  <c r="I10" i="5" s="1"/>
  <c r="I6" i="5"/>
  <c r="H15" i="5"/>
  <c r="H17" i="5"/>
  <c r="H19" i="5" s="1"/>
  <c r="H20" i="5" s="1"/>
  <c r="H28" i="5"/>
  <c r="H29" i="5" s="1"/>
  <c r="F49" i="5"/>
  <c r="C54" i="5" s="1"/>
  <c r="C53" i="5"/>
  <c r="I24" i="5"/>
  <c r="I26" i="5"/>
  <c r="G47" i="5"/>
  <c r="H44" i="5"/>
  <c r="I23" i="2"/>
  <c r="H44" i="2"/>
  <c r="E20" i="7" s="1"/>
  <c r="E63" i="7" s="1"/>
  <c r="E66" i="7" s="1"/>
  <c r="C61" i="2"/>
  <c r="C62" i="2" s="1"/>
  <c r="C32" i="7" s="1"/>
  <c r="C55" i="2"/>
  <c r="C59" i="2"/>
  <c r="C30" i="7" s="1"/>
  <c r="C60" i="2"/>
  <c r="C31" i="7" s="1"/>
  <c r="D61" i="2"/>
  <c r="D60" i="2"/>
  <c r="D31" i="7" s="1"/>
  <c r="D59" i="2"/>
  <c r="D30" i="7" s="1"/>
  <c r="D55" i="2"/>
  <c r="D26" i="7" s="1"/>
  <c r="G41" i="2"/>
  <c r="G48" i="2" s="1"/>
  <c r="I18" i="2"/>
  <c r="L28" i="6" l="1"/>
  <c r="L29" i="6" s="1"/>
  <c r="L46" i="6"/>
  <c r="L47" i="6" s="1"/>
  <c r="H53" i="6"/>
  <c r="H56" i="6" s="1"/>
  <c r="H58" i="6" s="1"/>
  <c r="K49" i="6"/>
  <c r="H54" i="6" s="1"/>
  <c r="L11" i="6"/>
  <c r="L41" i="6"/>
  <c r="L48" i="6" s="1"/>
  <c r="N23" i="6"/>
  <c r="M24" i="6"/>
  <c r="M26" i="6"/>
  <c r="M44" i="6"/>
  <c r="N5" i="6"/>
  <c r="M8" i="6"/>
  <c r="M10" i="6" s="1"/>
  <c r="M6" i="6"/>
  <c r="C53" i="6"/>
  <c r="C56" i="6" s="1"/>
  <c r="C58" i="6" s="1"/>
  <c r="C63" i="6" s="1"/>
  <c r="I52" i="6"/>
  <c r="L45" i="6"/>
  <c r="M19" i="5"/>
  <c r="M46" i="5"/>
  <c r="M47" i="5" s="1"/>
  <c r="K52" i="5"/>
  <c r="N45" i="5"/>
  <c r="J59" i="5"/>
  <c r="J55" i="5"/>
  <c r="J61" i="5"/>
  <c r="J62" i="5" s="1"/>
  <c r="J60" i="5"/>
  <c r="D74" i="7"/>
  <c r="D79" i="7"/>
  <c r="M14" i="2"/>
  <c r="L15" i="2"/>
  <c r="L17" i="2"/>
  <c r="C80" i="1"/>
  <c r="C84" i="1"/>
  <c r="C6" i="7"/>
  <c r="C41" i="7" s="1"/>
  <c r="C15" i="4"/>
  <c r="I36" i="4"/>
  <c r="I64" i="5"/>
  <c r="O6" i="5"/>
  <c r="O8" i="5"/>
  <c r="O10" i="5" s="1"/>
  <c r="N15" i="5"/>
  <c r="O14" i="5"/>
  <c r="O44" i="5" s="1"/>
  <c r="N17" i="5"/>
  <c r="N10" i="2"/>
  <c r="M11" i="2"/>
  <c r="O6" i="2"/>
  <c r="O8" i="2"/>
  <c r="I24" i="2"/>
  <c r="I26" i="2"/>
  <c r="I28" i="2" s="1"/>
  <c r="C56" i="2"/>
  <c r="C26" i="7"/>
  <c r="I19" i="2"/>
  <c r="I20" i="2" s="1"/>
  <c r="E67" i="7"/>
  <c r="E71" i="7"/>
  <c r="C75" i="7"/>
  <c r="C77" i="7" s="1"/>
  <c r="C82" i="7" s="1"/>
  <c r="C86" i="7" s="1"/>
  <c r="D16" i="7"/>
  <c r="C21" i="7" s="1"/>
  <c r="C22" i="7" s="1"/>
  <c r="C25" i="7" s="1"/>
  <c r="D59" i="5"/>
  <c r="D60" i="5"/>
  <c r="D61" i="5"/>
  <c r="D62" i="5" s="1"/>
  <c r="D55" i="5"/>
  <c r="D56" i="5" s="1"/>
  <c r="D58" i="5" s="1"/>
  <c r="D62" i="6"/>
  <c r="I11" i="6"/>
  <c r="D53" i="6"/>
  <c r="D56" i="6" s="1"/>
  <c r="D58" i="6" s="1"/>
  <c r="D63" i="6" s="1"/>
  <c r="G49" i="6"/>
  <c r="D54" i="6" s="1"/>
  <c r="H41" i="6"/>
  <c r="H48" i="6" s="1"/>
  <c r="J26" i="6"/>
  <c r="J24" i="6"/>
  <c r="J44" i="6"/>
  <c r="K45" i="6" s="1"/>
  <c r="F52" i="6"/>
  <c r="I45" i="6"/>
  <c r="H45" i="6"/>
  <c r="E52" i="6"/>
  <c r="J8" i="6"/>
  <c r="J10" i="6" s="1"/>
  <c r="J6" i="6"/>
  <c r="I15" i="6"/>
  <c r="I17" i="6"/>
  <c r="I19" i="6" s="1"/>
  <c r="I20" i="6" s="1"/>
  <c r="I28" i="6"/>
  <c r="I29" i="6" s="1"/>
  <c r="H46" i="6"/>
  <c r="H47" i="6" s="1"/>
  <c r="H41" i="5"/>
  <c r="H48" i="5" s="1"/>
  <c r="H49" i="5" s="1"/>
  <c r="E54" i="5" s="1"/>
  <c r="H46" i="5"/>
  <c r="H47" i="5" s="1"/>
  <c r="I17" i="5"/>
  <c r="I19" i="5" s="1"/>
  <c r="I20" i="5" s="1"/>
  <c r="I15" i="5"/>
  <c r="I11" i="5"/>
  <c r="J8" i="5"/>
  <c r="J10" i="5" s="1"/>
  <c r="J6" i="5"/>
  <c r="J24" i="5"/>
  <c r="J26" i="5"/>
  <c r="J44" i="5"/>
  <c r="K45" i="5" s="1"/>
  <c r="E52" i="5"/>
  <c r="H45" i="5"/>
  <c r="C56" i="5"/>
  <c r="C58" i="5" s="1"/>
  <c r="I46" i="5"/>
  <c r="I28" i="5"/>
  <c r="I29" i="5" s="1"/>
  <c r="I44" i="5"/>
  <c r="H45" i="2"/>
  <c r="E64" i="7" s="1"/>
  <c r="E52" i="2"/>
  <c r="H29" i="2"/>
  <c r="H46" i="2"/>
  <c r="H47" i="2" s="1"/>
  <c r="I44" i="2"/>
  <c r="F20" i="7" s="1"/>
  <c r="F63" i="7" s="1"/>
  <c r="F66" i="7" s="1"/>
  <c r="J23" i="2"/>
  <c r="K23" i="2" s="1"/>
  <c r="G49" i="2"/>
  <c r="D53" i="2"/>
  <c r="D56" i="2" s="1"/>
  <c r="D62" i="2"/>
  <c r="D32" i="7" s="1"/>
  <c r="J18" i="2"/>
  <c r="J52" i="6" l="1"/>
  <c r="M45" i="6"/>
  <c r="M28" i="6"/>
  <c r="M29" i="6" s="1"/>
  <c r="M46" i="6"/>
  <c r="M47" i="6" s="1"/>
  <c r="M11" i="6"/>
  <c r="M41" i="6"/>
  <c r="M48" i="6" s="1"/>
  <c r="O23" i="6"/>
  <c r="N26" i="6"/>
  <c r="N44" i="6"/>
  <c r="N24" i="6"/>
  <c r="I53" i="6"/>
  <c r="L49" i="6"/>
  <c r="I54" i="6" s="1"/>
  <c r="I55" i="6"/>
  <c r="I60" i="6"/>
  <c r="I61" i="6"/>
  <c r="I62" i="6" s="1"/>
  <c r="I59" i="6"/>
  <c r="O5" i="6"/>
  <c r="N8" i="6"/>
  <c r="N10" i="6" s="1"/>
  <c r="N6" i="6"/>
  <c r="N19" i="5"/>
  <c r="N46" i="5"/>
  <c r="N47" i="5" s="1"/>
  <c r="L52" i="5"/>
  <c r="O45" i="5"/>
  <c r="K61" i="5"/>
  <c r="K62" i="5" s="1"/>
  <c r="K60" i="5"/>
  <c r="K55" i="5"/>
  <c r="K59" i="5"/>
  <c r="M20" i="5"/>
  <c r="M41" i="5"/>
  <c r="M48" i="5" s="1"/>
  <c r="D58" i="2"/>
  <c r="D35" i="9"/>
  <c r="I20" i="9"/>
  <c r="I28" i="9" s="1"/>
  <c r="K20" i="9"/>
  <c r="K28" i="9" s="1"/>
  <c r="L23" i="2"/>
  <c r="K26" i="2"/>
  <c r="K44" i="2"/>
  <c r="N14" i="2"/>
  <c r="M17" i="2"/>
  <c r="M15" i="2"/>
  <c r="J19" i="2"/>
  <c r="J20" i="2" s="1"/>
  <c r="K18" i="2"/>
  <c r="E20" i="9"/>
  <c r="E28" i="9" s="1"/>
  <c r="G20" i="9"/>
  <c r="G28" i="9" s="1"/>
  <c r="C58" i="2"/>
  <c r="C63" i="2" s="1"/>
  <c r="C64" i="2" s="1"/>
  <c r="I16" i="4"/>
  <c r="J16" i="4"/>
  <c r="D16" i="4"/>
  <c r="F16" i="4"/>
  <c r="K16" i="4"/>
  <c r="L16" i="4"/>
  <c r="C39" i="4"/>
  <c r="G16" i="4"/>
  <c r="H16" i="4"/>
  <c r="C16" i="4"/>
  <c r="E16" i="4"/>
  <c r="C89" i="7"/>
  <c r="K42" i="7"/>
  <c r="H42" i="7"/>
  <c r="J42" i="7"/>
  <c r="F42" i="7"/>
  <c r="L42" i="7"/>
  <c r="G42" i="7"/>
  <c r="I42" i="7"/>
  <c r="D42" i="7"/>
  <c r="E42" i="7"/>
  <c r="C42" i="7"/>
  <c r="O11" i="5"/>
  <c r="O15" i="5"/>
  <c r="O17" i="5"/>
  <c r="O10" i="2"/>
  <c r="N11" i="2"/>
  <c r="E61" i="6"/>
  <c r="E62" i="6" s="1"/>
  <c r="E59" i="6"/>
  <c r="E55" i="6"/>
  <c r="E60" i="6"/>
  <c r="D64" i="6"/>
  <c r="D60" i="4"/>
  <c r="E80" i="7"/>
  <c r="E81" i="7" s="1"/>
  <c r="E79" i="7"/>
  <c r="E74" i="7"/>
  <c r="E78" i="7"/>
  <c r="F61" i="6"/>
  <c r="F59" i="6"/>
  <c r="F55" i="6"/>
  <c r="F60" i="6"/>
  <c r="D63" i="2"/>
  <c r="D12" i="4" s="1"/>
  <c r="J26" i="2"/>
  <c r="J28" i="2" s="1"/>
  <c r="J24" i="2"/>
  <c r="K24" i="2"/>
  <c r="F71" i="7"/>
  <c r="F67" i="7"/>
  <c r="I46" i="6"/>
  <c r="I47" i="6" s="1"/>
  <c r="C27" i="7"/>
  <c r="C29" i="7" s="1"/>
  <c r="C33" i="7" s="1"/>
  <c r="C38" i="7" s="1"/>
  <c r="D54" i="2"/>
  <c r="E14" i="7"/>
  <c r="D72" i="7" s="1"/>
  <c r="D73" i="7" s="1"/>
  <c r="D75" i="7" s="1"/>
  <c r="D77" i="7" s="1"/>
  <c r="D82" i="7" s="1"/>
  <c r="D86" i="7" s="1"/>
  <c r="E53" i="5"/>
  <c r="E59" i="5"/>
  <c r="E61" i="5"/>
  <c r="E62" i="5" s="1"/>
  <c r="E60" i="5"/>
  <c r="E55" i="5"/>
  <c r="I47" i="5"/>
  <c r="C63" i="5"/>
  <c r="C36" i="4" s="1"/>
  <c r="C64" i="6"/>
  <c r="C60" i="4"/>
  <c r="G52" i="6"/>
  <c r="J45" i="6"/>
  <c r="J17" i="6"/>
  <c r="J19" i="6" s="1"/>
  <c r="J20" i="6" s="1"/>
  <c r="J15" i="6"/>
  <c r="J11" i="6"/>
  <c r="I41" i="6"/>
  <c r="I48" i="6" s="1"/>
  <c r="J28" i="6"/>
  <c r="J29" i="6" s="1"/>
  <c r="E53" i="6"/>
  <c r="H49" i="6"/>
  <c r="E54" i="6" s="1"/>
  <c r="I45" i="5"/>
  <c r="F52" i="5"/>
  <c r="G52" i="5"/>
  <c r="J45" i="5"/>
  <c r="J28" i="5"/>
  <c r="J29" i="5" s="1"/>
  <c r="J11" i="5"/>
  <c r="I41" i="5"/>
  <c r="I48" i="5" s="1"/>
  <c r="D63" i="5"/>
  <c r="J17" i="5"/>
  <c r="J19" i="5" s="1"/>
  <c r="J20" i="5" s="1"/>
  <c r="J15" i="5"/>
  <c r="J44" i="2"/>
  <c r="G20" i="7" s="1"/>
  <c r="G63" i="7" s="1"/>
  <c r="G66" i="7" s="1"/>
  <c r="I29" i="2"/>
  <c r="I46" i="2"/>
  <c r="I47" i="2" s="1"/>
  <c r="F52" i="2"/>
  <c r="I45" i="2"/>
  <c r="F64" i="7" s="1"/>
  <c r="H41" i="2"/>
  <c r="H48" i="2" s="1"/>
  <c r="E53" i="2" s="1"/>
  <c r="E61" i="2"/>
  <c r="E62" i="2" s="1"/>
  <c r="E32" i="7" s="1"/>
  <c r="E60" i="2"/>
  <c r="E31" i="7" s="1"/>
  <c r="E59" i="2"/>
  <c r="E30" i="7" s="1"/>
  <c r="E55" i="2"/>
  <c r="E26" i="7" s="1"/>
  <c r="D64" i="2" l="1"/>
  <c r="K52" i="6"/>
  <c r="N45" i="6"/>
  <c r="N11" i="6"/>
  <c r="N28" i="6"/>
  <c r="N29" i="6" s="1"/>
  <c r="N46" i="6"/>
  <c r="N47" i="6" s="1"/>
  <c r="O6" i="6"/>
  <c r="O8" i="6"/>
  <c r="O10" i="6" s="1"/>
  <c r="J53" i="6"/>
  <c r="M49" i="6"/>
  <c r="J54" i="6" s="1"/>
  <c r="E56" i="6"/>
  <c r="E58" i="6" s="1"/>
  <c r="E63" i="6" s="1"/>
  <c r="O44" i="6"/>
  <c r="O26" i="6"/>
  <c r="O24" i="6"/>
  <c r="I56" i="6"/>
  <c r="I58" i="6" s="1"/>
  <c r="I63" i="6" s="1"/>
  <c r="J55" i="6"/>
  <c r="J60" i="6"/>
  <c r="J61" i="6"/>
  <c r="J62" i="6" s="1"/>
  <c r="J59" i="6"/>
  <c r="L60" i="5"/>
  <c r="L61" i="5"/>
  <c r="L62" i="5" s="1"/>
  <c r="L59" i="5"/>
  <c r="L55" i="5"/>
  <c r="J53" i="5"/>
  <c r="J56" i="5" s="1"/>
  <c r="J58" i="5" s="1"/>
  <c r="J63" i="5" s="1"/>
  <c r="M49" i="5"/>
  <c r="J54" i="5" s="1"/>
  <c r="O19" i="5"/>
  <c r="O46" i="5"/>
  <c r="O47" i="5" s="1"/>
  <c r="N20" i="5"/>
  <c r="N41" i="5"/>
  <c r="N48" i="5" s="1"/>
  <c r="N17" i="2"/>
  <c r="O14" i="2"/>
  <c r="N15" i="2"/>
  <c r="H20" i="7"/>
  <c r="H63" i="7" s="1"/>
  <c r="H66" i="7" s="1"/>
  <c r="H71" i="7" s="1"/>
  <c r="K45" i="2"/>
  <c r="H64" i="7" s="1"/>
  <c r="H52" i="2"/>
  <c r="L26" i="2"/>
  <c r="M23" i="2"/>
  <c r="L44" i="2"/>
  <c r="L24" i="2"/>
  <c r="C12" i="4"/>
  <c r="C17" i="4" s="1"/>
  <c r="L18" i="2"/>
  <c r="K19" i="2"/>
  <c r="D36" i="9"/>
  <c r="E35" i="9"/>
  <c r="F35" i="9" s="1"/>
  <c r="G35" i="9" s="1"/>
  <c r="H35" i="9" s="1"/>
  <c r="C49" i="9" s="1"/>
  <c r="H67" i="7"/>
  <c r="K28" i="2"/>
  <c r="K29" i="2" s="1"/>
  <c r="K46" i="2"/>
  <c r="K47" i="2" s="1"/>
  <c r="C43" i="7"/>
  <c r="L40" i="4"/>
  <c r="C40" i="4"/>
  <c r="C41" i="4" s="1"/>
  <c r="I40" i="4"/>
  <c r="I41" i="4" s="1"/>
  <c r="G40" i="4"/>
  <c r="D40" i="4"/>
  <c r="C63" i="4"/>
  <c r="J40" i="4"/>
  <c r="E40" i="4"/>
  <c r="K40" i="4"/>
  <c r="F40" i="4"/>
  <c r="H40" i="4"/>
  <c r="E90" i="7"/>
  <c r="F90" i="7"/>
  <c r="C90" i="7"/>
  <c r="C91" i="7" s="1"/>
  <c r="H90" i="7"/>
  <c r="G90" i="7"/>
  <c r="I90" i="7"/>
  <c r="J90" i="7"/>
  <c r="K90" i="7"/>
  <c r="D90" i="7"/>
  <c r="D91" i="7" s="1"/>
  <c r="L90" i="7"/>
  <c r="D17" i="4"/>
  <c r="O11" i="2"/>
  <c r="F80" i="7"/>
  <c r="F81" i="7" s="1"/>
  <c r="F78" i="7"/>
  <c r="F74" i="7"/>
  <c r="F79" i="7"/>
  <c r="G71" i="7"/>
  <c r="G67" i="7"/>
  <c r="G61" i="6"/>
  <c r="G59" i="6"/>
  <c r="G55" i="6"/>
  <c r="G60" i="6"/>
  <c r="E56" i="2"/>
  <c r="E58" i="2" s="1"/>
  <c r="E63" i="2" s="1"/>
  <c r="E64" i="2" s="1"/>
  <c r="J46" i="5"/>
  <c r="J47" i="5" s="1"/>
  <c r="J41" i="6"/>
  <c r="J48" i="6" s="1"/>
  <c r="J49" i="6" s="1"/>
  <c r="G54" i="6" s="1"/>
  <c r="E56" i="5"/>
  <c r="E58" i="5" s="1"/>
  <c r="E63" i="5" s="1"/>
  <c r="E64" i="5" s="1"/>
  <c r="E16" i="7"/>
  <c r="D21" i="7" s="1"/>
  <c r="D22" i="7" s="1"/>
  <c r="D25" i="7" s="1"/>
  <c r="D27" i="7" s="1"/>
  <c r="D29" i="7" s="1"/>
  <c r="D33" i="7" s="1"/>
  <c r="D38" i="7" s="1"/>
  <c r="D43" i="7" s="1"/>
  <c r="C64" i="5"/>
  <c r="F61" i="5"/>
  <c r="F62" i="5" s="1"/>
  <c r="F55" i="5"/>
  <c r="F59" i="5"/>
  <c r="F60" i="5"/>
  <c r="G55" i="5"/>
  <c r="G60" i="5"/>
  <c r="G59" i="5"/>
  <c r="G61" i="5"/>
  <c r="H62" i="5" s="1"/>
  <c r="H63" i="5" s="1"/>
  <c r="D64" i="5"/>
  <c r="D36" i="4"/>
  <c r="J46" i="6"/>
  <c r="J47" i="6" s="1"/>
  <c r="I49" i="6"/>
  <c r="F54" i="6" s="1"/>
  <c r="F53" i="6"/>
  <c r="F56" i="6" s="1"/>
  <c r="F58" i="6" s="1"/>
  <c r="F62" i="6"/>
  <c r="F53" i="5"/>
  <c r="I49" i="5"/>
  <c r="F54" i="5" s="1"/>
  <c r="J41" i="5"/>
  <c r="J48" i="5" s="1"/>
  <c r="H49" i="2"/>
  <c r="J29" i="2"/>
  <c r="J46" i="2"/>
  <c r="J47" i="2" s="1"/>
  <c r="F55" i="2"/>
  <c r="F26" i="7" s="1"/>
  <c r="F60" i="2"/>
  <c r="F31" i="7" s="1"/>
  <c r="F59" i="2"/>
  <c r="F30" i="7" s="1"/>
  <c r="F61" i="2"/>
  <c r="F62" i="2" s="1"/>
  <c r="F32" i="7" s="1"/>
  <c r="G52" i="2"/>
  <c r="J45" i="2"/>
  <c r="G64" i="7" s="1"/>
  <c r="I41" i="2"/>
  <c r="I48" i="2" s="1"/>
  <c r="F53" i="2" s="1"/>
  <c r="J56" i="6" l="1"/>
  <c r="J58" i="6" s="1"/>
  <c r="J63" i="6" s="1"/>
  <c r="I60" i="4"/>
  <c r="I64" i="6"/>
  <c r="O28" i="6"/>
  <c r="O29" i="6" s="1"/>
  <c r="O46" i="6"/>
  <c r="O47" i="6" s="1"/>
  <c r="L52" i="6"/>
  <c r="O45" i="6"/>
  <c r="O11" i="6"/>
  <c r="N41" i="6"/>
  <c r="N48" i="6" s="1"/>
  <c r="K59" i="6"/>
  <c r="K55" i="6"/>
  <c r="K61" i="6"/>
  <c r="K60" i="6"/>
  <c r="N49" i="5"/>
  <c r="K54" i="5" s="1"/>
  <c r="K53" i="5"/>
  <c r="K56" i="5" s="1"/>
  <c r="K58" i="5" s="1"/>
  <c r="K63" i="5" s="1"/>
  <c r="O20" i="5"/>
  <c r="O41" i="5"/>
  <c r="O48" i="5" s="1"/>
  <c r="J36" i="4"/>
  <c r="J41" i="4" s="1"/>
  <c r="J64" i="5"/>
  <c r="K20" i="2"/>
  <c r="K41" i="2"/>
  <c r="K48" i="2" s="1"/>
  <c r="H79" i="7"/>
  <c r="H80" i="7"/>
  <c r="H74" i="7"/>
  <c r="H78" i="7"/>
  <c r="N23" i="2"/>
  <c r="M26" i="2"/>
  <c r="M24" i="2"/>
  <c r="M44" i="2"/>
  <c r="L28" i="2"/>
  <c r="L29" i="2" s="1"/>
  <c r="L46" i="2"/>
  <c r="L47" i="2" s="1"/>
  <c r="H61" i="2"/>
  <c r="H55" i="2"/>
  <c r="H26" i="7" s="1"/>
  <c r="H59" i="2"/>
  <c r="H30" i="7" s="1"/>
  <c r="H60" i="2"/>
  <c r="H31" i="7" s="1"/>
  <c r="M18" i="2"/>
  <c r="L19" i="2"/>
  <c r="O15" i="2"/>
  <c r="O17" i="2"/>
  <c r="D37" i="9"/>
  <c r="E36" i="9"/>
  <c r="F36" i="9" s="1"/>
  <c r="G36" i="9" s="1"/>
  <c r="H36" i="9" s="1"/>
  <c r="C50" i="9" s="1"/>
  <c r="E12" i="4"/>
  <c r="E17" i="4" s="1"/>
  <c r="F56" i="2"/>
  <c r="F58" i="2" s="1"/>
  <c r="F63" i="2" s="1"/>
  <c r="I52" i="2"/>
  <c r="I20" i="7"/>
  <c r="I63" i="7" s="1"/>
  <c r="I66" i="7" s="1"/>
  <c r="L45" i="2"/>
  <c r="I64" i="7" s="1"/>
  <c r="G62" i="6"/>
  <c r="H62" i="6"/>
  <c r="H63" i="6" s="1"/>
  <c r="H36" i="4"/>
  <c r="H41" i="4" s="1"/>
  <c r="H64" i="5"/>
  <c r="D41" i="4"/>
  <c r="J64" i="4"/>
  <c r="E64" i="4"/>
  <c r="H64" i="4"/>
  <c r="F64" i="4"/>
  <c r="L64" i="4"/>
  <c r="C64" i="4"/>
  <c r="C65" i="4" s="1"/>
  <c r="I64" i="4"/>
  <c r="I65" i="4" s="1"/>
  <c r="D64" i="4"/>
  <c r="D65" i="4" s="1"/>
  <c r="K64" i="4"/>
  <c r="G64" i="4"/>
  <c r="G53" i="6"/>
  <c r="G56" i="6" s="1"/>
  <c r="G58" i="6" s="1"/>
  <c r="G80" i="7"/>
  <c r="G79" i="7"/>
  <c r="G78" i="7"/>
  <c r="G74" i="7"/>
  <c r="E64" i="6"/>
  <c r="E60" i="4"/>
  <c r="E54" i="2"/>
  <c r="F14" i="7"/>
  <c r="E72" i="7" s="1"/>
  <c r="E73" i="7" s="1"/>
  <c r="E75" i="7" s="1"/>
  <c r="E77" i="7" s="1"/>
  <c r="E82" i="7" s="1"/>
  <c r="E86" i="7" s="1"/>
  <c r="E91" i="7" s="1"/>
  <c r="E36" i="4"/>
  <c r="E41" i="4" s="1"/>
  <c r="F63" i="6"/>
  <c r="F56" i="5"/>
  <c r="F58" i="5" s="1"/>
  <c r="F63" i="5" s="1"/>
  <c r="G62" i="5"/>
  <c r="J49" i="5"/>
  <c r="G54" i="5" s="1"/>
  <c r="G53" i="5"/>
  <c r="G56" i="5" s="1"/>
  <c r="G58" i="5" s="1"/>
  <c r="I49" i="2"/>
  <c r="G61" i="2"/>
  <c r="G60" i="2"/>
  <c r="G31" i="7" s="1"/>
  <c r="G55" i="2"/>
  <c r="G26" i="7" s="1"/>
  <c r="G59" i="2"/>
  <c r="G30" i="7" s="1"/>
  <c r="J41" i="2"/>
  <c r="J48" i="2" s="1"/>
  <c r="F64" i="2"/>
  <c r="F12" i="4"/>
  <c r="F17" i="4" s="1"/>
  <c r="O41" i="6" l="1"/>
  <c r="O48" i="6" s="1"/>
  <c r="N49" i="6"/>
  <c r="K54" i="6" s="1"/>
  <c r="K53" i="6"/>
  <c r="K56" i="6" s="1"/>
  <c r="K58" i="6" s="1"/>
  <c r="G63" i="6"/>
  <c r="G60" i="4" s="1"/>
  <c r="J65" i="4"/>
  <c r="L62" i="6"/>
  <c r="K62" i="6"/>
  <c r="K63" i="6" s="1"/>
  <c r="L60" i="6"/>
  <c r="L59" i="6"/>
  <c r="L55" i="6"/>
  <c r="L61" i="6"/>
  <c r="J64" i="6"/>
  <c r="J60" i="4"/>
  <c r="L53" i="5"/>
  <c r="L56" i="5" s="1"/>
  <c r="L58" i="5" s="1"/>
  <c r="L63" i="5" s="1"/>
  <c r="O49" i="5"/>
  <c r="L54" i="5" s="1"/>
  <c r="K64" i="5"/>
  <c r="K36" i="4"/>
  <c r="K41" i="4" s="1"/>
  <c r="I67" i="7"/>
  <c r="I71" i="7"/>
  <c r="J20" i="7"/>
  <c r="J63" i="7" s="1"/>
  <c r="J66" i="7" s="1"/>
  <c r="J52" i="2"/>
  <c r="M45" i="2"/>
  <c r="J64" i="7" s="1"/>
  <c r="N18" i="2"/>
  <c r="M19" i="2"/>
  <c r="L20" i="2"/>
  <c r="L41" i="2"/>
  <c r="L48" i="2" s="1"/>
  <c r="M28" i="2"/>
  <c r="M29" i="2" s="1"/>
  <c r="M46" i="2"/>
  <c r="M47" i="2" s="1"/>
  <c r="N24" i="2"/>
  <c r="O23" i="2"/>
  <c r="N26" i="2"/>
  <c r="N44" i="2"/>
  <c r="I61" i="2"/>
  <c r="I62" i="2" s="1"/>
  <c r="I32" i="7" s="1"/>
  <c r="I59" i="2"/>
  <c r="I30" i="7" s="1"/>
  <c r="I60" i="2"/>
  <c r="I31" i="7" s="1"/>
  <c r="I55" i="2"/>
  <c r="I26" i="7" s="1"/>
  <c r="H53" i="2"/>
  <c r="H56" i="2" s="1"/>
  <c r="H58" i="2" s="1"/>
  <c r="K49" i="2"/>
  <c r="H64" i="6"/>
  <c r="H60" i="4"/>
  <c r="H65" i="4" s="1"/>
  <c r="G62" i="2"/>
  <c r="G32" i="7" s="1"/>
  <c r="H62" i="2"/>
  <c r="E65" i="4"/>
  <c r="G81" i="7"/>
  <c r="H81" i="7"/>
  <c r="G63" i="5"/>
  <c r="G36" i="4" s="1"/>
  <c r="F64" i="6"/>
  <c r="F60" i="4"/>
  <c r="F65" i="4" s="1"/>
  <c r="F54" i="2"/>
  <c r="G14" i="7"/>
  <c r="F72" i="7" s="1"/>
  <c r="F73" i="7" s="1"/>
  <c r="F75" i="7" s="1"/>
  <c r="F77" i="7" s="1"/>
  <c r="F82" i="7" s="1"/>
  <c r="F86" i="7" s="1"/>
  <c r="F91" i="7" s="1"/>
  <c r="F16" i="7"/>
  <c r="E21" i="7" s="1"/>
  <c r="E22" i="7" s="1"/>
  <c r="E25" i="7" s="1"/>
  <c r="E27" i="7" s="1"/>
  <c r="E29" i="7" s="1"/>
  <c r="E33" i="7" s="1"/>
  <c r="E38" i="7" s="1"/>
  <c r="E43" i="7" s="1"/>
  <c r="F64" i="5"/>
  <c r="F36" i="4"/>
  <c r="F41" i="4" s="1"/>
  <c r="J49" i="2"/>
  <c r="G53" i="2"/>
  <c r="G56" i="2" s="1"/>
  <c r="G58" i="2" s="1"/>
  <c r="G63" i="2" s="1"/>
  <c r="K60" i="4" l="1"/>
  <c r="K65" i="4" s="1"/>
  <c r="K64" i="6"/>
  <c r="G64" i="6"/>
  <c r="L53" i="6"/>
  <c r="L56" i="6" s="1"/>
  <c r="L58" i="6" s="1"/>
  <c r="L63" i="6" s="1"/>
  <c r="O49" i="6"/>
  <c r="L54" i="6" s="1"/>
  <c r="L36" i="4"/>
  <c r="L64" i="5"/>
  <c r="M20" i="2"/>
  <c r="M41" i="2"/>
  <c r="M48" i="2" s="1"/>
  <c r="I53" i="2"/>
  <c r="I56" i="2" s="1"/>
  <c r="I58" i="2" s="1"/>
  <c r="I63" i="2" s="1"/>
  <c r="L49" i="2"/>
  <c r="N28" i="2"/>
  <c r="N29" i="2" s="1"/>
  <c r="N46" i="2"/>
  <c r="N47" i="2" s="1"/>
  <c r="O44" i="2"/>
  <c r="O26" i="2"/>
  <c r="O24" i="2"/>
  <c r="O18" i="2"/>
  <c r="O19" i="2" s="1"/>
  <c r="N19" i="2"/>
  <c r="K20" i="7"/>
  <c r="K63" i="7" s="1"/>
  <c r="K66" i="7" s="1"/>
  <c r="N45" i="2"/>
  <c r="K64" i="7" s="1"/>
  <c r="K52" i="2"/>
  <c r="J67" i="7"/>
  <c r="J71" i="7"/>
  <c r="H54" i="2"/>
  <c r="I14" i="7"/>
  <c r="I74" i="7"/>
  <c r="I79" i="7"/>
  <c r="I80" i="7"/>
  <c r="I81" i="7" s="1"/>
  <c r="I78" i="7"/>
  <c r="J55" i="2"/>
  <c r="J26" i="7" s="1"/>
  <c r="J60" i="2"/>
  <c r="J31" i="7" s="1"/>
  <c r="J61" i="2"/>
  <c r="J62" i="2" s="1"/>
  <c r="J32" i="7" s="1"/>
  <c r="J59" i="2"/>
  <c r="J30" i="7" s="1"/>
  <c r="G64" i="5"/>
  <c r="H32" i="7"/>
  <c r="H63" i="2"/>
  <c r="G65" i="4"/>
  <c r="G54" i="2"/>
  <c r="H14" i="7"/>
  <c r="G72" i="7" s="1"/>
  <c r="G73" i="7" s="1"/>
  <c r="G75" i="7" s="1"/>
  <c r="G77" i="7" s="1"/>
  <c r="G82" i="7" s="1"/>
  <c r="G86" i="7" s="1"/>
  <c r="G16" i="7"/>
  <c r="F21" i="7" s="1"/>
  <c r="F22" i="7" s="1"/>
  <c r="F25" i="7" s="1"/>
  <c r="F27" i="7" s="1"/>
  <c r="F29" i="7" s="1"/>
  <c r="F33" i="7" s="1"/>
  <c r="F38" i="7" s="1"/>
  <c r="F43" i="7" s="1"/>
  <c r="G41" i="4"/>
  <c r="G12" i="4"/>
  <c r="G64" i="2"/>
  <c r="L60" i="4" l="1"/>
  <c r="L64" i="6"/>
  <c r="L41" i="4"/>
  <c r="M36" i="4"/>
  <c r="L42" i="4" s="1"/>
  <c r="L43" i="4" s="1"/>
  <c r="O20" i="2"/>
  <c r="J80" i="7"/>
  <c r="J81" i="7" s="1"/>
  <c r="J74" i="7"/>
  <c r="J79" i="7"/>
  <c r="J78" i="7"/>
  <c r="I64" i="2"/>
  <c r="I12" i="4"/>
  <c r="I17" i="4" s="1"/>
  <c r="I16" i="7"/>
  <c r="H21" i="7" s="1"/>
  <c r="H22" i="7" s="1"/>
  <c r="H25" i="7" s="1"/>
  <c r="H27" i="7" s="1"/>
  <c r="H29" i="7" s="1"/>
  <c r="H33" i="7" s="1"/>
  <c r="H38" i="7" s="1"/>
  <c r="H43" i="7" s="1"/>
  <c r="H72" i="7"/>
  <c r="H73" i="7" s="1"/>
  <c r="H75" i="7" s="1"/>
  <c r="H77" i="7" s="1"/>
  <c r="H82" i="7" s="1"/>
  <c r="H86" i="7" s="1"/>
  <c r="H91" i="7" s="1"/>
  <c r="O28" i="2"/>
  <c r="O29" i="2" s="1"/>
  <c r="O46" i="2"/>
  <c r="O47" i="2" s="1"/>
  <c r="L20" i="7"/>
  <c r="L63" i="7" s="1"/>
  <c r="L52" i="2"/>
  <c r="O45" i="2"/>
  <c r="L64" i="7" s="1"/>
  <c r="K59" i="2"/>
  <c r="K30" i="7" s="1"/>
  <c r="K60" i="2"/>
  <c r="K31" i="7" s="1"/>
  <c r="K61" i="2"/>
  <c r="K62" i="2" s="1"/>
  <c r="K32" i="7" s="1"/>
  <c r="K55" i="2"/>
  <c r="K26" i="7" s="1"/>
  <c r="M49" i="2"/>
  <c r="J53" i="2"/>
  <c r="J56" i="2" s="1"/>
  <c r="J58" i="2" s="1"/>
  <c r="J63" i="2" s="1"/>
  <c r="I54" i="2"/>
  <c r="J14" i="7"/>
  <c r="K67" i="7"/>
  <c r="K71" i="7"/>
  <c r="N20" i="2"/>
  <c r="N41" i="2"/>
  <c r="N48" i="2" s="1"/>
  <c r="H12" i="4"/>
  <c r="H17" i="4" s="1"/>
  <c r="H64" i="2"/>
  <c r="G91" i="7"/>
  <c r="H16" i="7"/>
  <c r="G21" i="7" s="1"/>
  <c r="G22" i="7" s="1"/>
  <c r="G25" i="7" s="1"/>
  <c r="G27" i="7" s="1"/>
  <c r="G29" i="7" s="1"/>
  <c r="G33" i="7" s="1"/>
  <c r="G38" i="7" s="1"/>
  <c r="G17" i="4"/>
  <c r="M60" i="4" l="1"/>
  <c r="L66" i="4" s="1"/>
  <c r="L67" i="4" s="1"/>
  <c r="L65" i="4"/>
  <c r="C68" i="4" s="1"/>
  <c r="C73" i="4" s="1"/>
  <c r="C75" i="4" s="1"/>
  <c r="C76" i="4" s="1"/>
  <c r="E99" i="4" s="1"/>
  <c r="E100" i="4" s="1"/>
  <c r="C44" i="4"/>
  <c r="C49" i="4" s="1"/>
  <c r="C51" i="4" s="1"/>
  <c r="C52" i="4" s="1"/>
  <c r="C99" i="4" s="1"/>
  <c r="C100" i="4" s="1"/>
  <c r="C109" i="7"/>
  <c r="L61" i="2"/>
  <c r="L62" i="2" s="1"/>
  <c r="L32" i="7" s="1"/>
  <c r="L59" i="2"/>
  <c r="L30" i="7" s="1"/>
  <c r="L55" i="2"/>
  <c r="L26" i="7" s="1"/>
  <c r="L60" i="2"/>
  <c r="L31" i="7" s="1"/>
  <c r="I72" i="7"/>
  <c r="I73" i="7" s="1"/>
  <c r="I75" i="7" s="1"/>
  <c r="I77" i="7" s="1"/>
  <c r="I82" i="7" s="1"/>
  <c r="I86" i="7" s="1"/>
  <c r="I91" i="7" s="1"/>
  <c r="J16" i="7"/>
  <c r="I21" i="7" s="1"/>
  <c r="I22" i="7" s="1"/>
  <c r="I25" i="7" s="1"/>
  <c r="I27" i="7" s="1"/>
  <c r="I29" i="7" s="1"/>
  <c r="I33" i="7" s="1"/>
  <c r="I38" i="7" s="1"/>
  <c r="I43" i="7" s="1"/>
  <c r="K79" i="7"/>
  <c r="K80" i="7"/>
  <c r="K81" i="7" s="1"/>
  <c r="K74" i="7"/>
  <c r="K78" i="7"/>
  <c r="O41" i="2"/>
  <c r="O48" i="2" s="1"/>
  <c r="K53" i="2"/>
  <c r="K56" i="2" s="1"/>
  <c r="K58" i="2" s="1"/>
  <c r="K63" i="2" s="1"/>
  <c r="N49" i="2"/>
  <c r="L66" i="7"/>
  <c r="C108" i="7"/>
  <c r="J64" i="2"/>
  <c r="J12" i="4"/>
  <c r="J17" i="4" s="1"/>
  <c r="J54" i="2"/>
  <c r="K14" i="7"/>
  <c r="G43" i="7"/>
  <c r="L67" i="7" l="1"/>
  <c r="L71" i="7"/>
  <c r="J72" i="7"/>
  <c r="J73" i="7" s="1"/>
  <c r="J75" i="7" s="1"/>
  <c r="J77" i="7" s="1"/>
  <c r="J82" i="7" s="1"/>
  <c r="J86" i="7" s="1"/>
  <c r="J91" i="7" s="1"/>
  <c r="K16" i="7"/>
  <c r="J21" i="7" s="1"/>
  <c r="J22" i="7" s="1"/>
  <c r="J25" i="7" s="1"/>
  <c r="J27" i="7" s="1"/>
  <c r="J29" i="7" s="1"/>
  <c r="J33" i="7" s="1"/>
  <c r="J38" i="7" s="1"/>
  <c r="J43" i="7" s="1"/>
  <c r="K64" i="2"/>
  <c r="K12" i="4"/>
  <c r="K17" i="4" s="1"/>
  <c r="O49" i="2"/>
  <c r="L53" i="2"/>
  <c r="L56" i="2" s="1"/>
  <c r="L58" i="2" s="1"/>
  <c r="L63" i="2" s="1"/>
  <c r="L14" i="7"/>
  <c r="K54" i="2"/>
  <c r="L54" i="2" l="1"/>
  <c r="M14" i="7"/>
  <c r="L80" i="7"/>
  <c r="L81" i="7" s="1"/>
  <c r="D108" i="7"/>
  <c r="E108" i="7" s="1"/>
  <c r="L78" i="7"/>
  <c r="L74" i="7"/>
  <c r="L79" i="7"/>
  <c r="C104" i="7"/>
  <c r="D109" i="7" s="1"/>
  <c r="E109" i="7" s="1"/>
  <c r="K72" i="7"/>
  <c r="K73" i="7" s="1"/>
  <c r="K75" i="7" s="1"/>
  <c r="K77" i="7" s="1"/>
  <c r="K82" i="7" s="1"/>
  <c r="K86" i="7" s="1"/>
  <c r="K91" i="7" s="1"/>
  <c r="L16" i="7"/>
  <c r="K21" i="7" s="1"/>
  <c r="K22" i="7" s="1"/>
  <c r="K25" i="7" s="1"/>
  <c r="K27" i="7" s="1"/>
  <c r="K29" i="7" s="1"/>
  <c r="K33" i="7" s="1"/>
  <c r="K38" i="7" s="1"/>
  <c r="K43" i="7" s="1"/>
  <c r="L12" i="4"/>
  <c r="L64" i="2"/>
  <c r="M12" i="4" l="1"/>
  <c r="L18" i="4" s="1"/>
  <c r="L19" i="4" s="1"/>
  <c r="L17" i="4"/>
  <c r="C110" i="7"/>
  <c r="L72" i="7"/>
  <c r="L73" i="7" s="1"/>
  <c r="L75" i="7" s="1"/>
  <c r="L77" i="7" s="1"/>
  <c r="L82" i="7" s="1"/>
  <c r="L86" i="7" s="1"/>
  <c r="M16" i="7"/>
  <c r="C20" i="4" l="1"/>
  <c r="L21" i="7"/>
  <c r="L22" i="7" s="1"/>
  <c r="L25" i="7" s="1"/>
  <c r="L27" i="7" s="1"/>
  <c r="L29" i="7" s="1"/>
  <c r="L33" i="7" s="1"/>
  <c r="L38" i="7" s="1"/>
  <c r="D110" i="7"/>
  <c r="E110" i="7" s="1"/>
  <c r="C25" i="4"/>
  <c r="C27" i="4" s="1"/>
  <c r="C28" i="4" s="1"/>
  <c r="C37" i="9"/>
  <c r="E37" i="9" s="1"/>
  <c r="F37" i="9" s="1"/>
  <c r="G37" i="9" s="1"/>
  <c r="H37" i="9" s="1"/>
  <c r="M86" i="7"/>
  <c r="L92" i="7" s="1"/>
  <c r="L93" i="7" s="1"/>
  <c r="L91" i="7"/>
  <c r="C94" i="7" s="1"/>
  <c r="C99" i="7" s="1"/>
  <c r="C101" i="7" s="1"/>
  <c r="C102" i="7" s="1"/>
  <c r="B89" i="4" l="1"/>
  <c r="C5" i="7"/>
  <c r="C8" i="7" s="1"/>
  <c r="D99" i="4"/>
  <c r="C85" i="4"/>
  <c r="M38" i="7"/>
  <c r="L44" i="7" s="1"/>
  <c r="L45" i="7" s="1"/>
  <c r="L43" i="7"/>
  <c r="C46" i="7" s="1"/>
  <c r="C51" i="7" s="1"/>
  <c r="C53" i="7" s="1"/>
  <c r="C54" i="7" s="1"/>
  <c r="C48" i="9" l="1"/>
  <c r="D100" i="4"/>
</calcChain>
</file>

<file path=xl/sharedStrings.xml><?xml version="1.0" encoding="utf-8"?>
<sst xmlns="http://schemas.openxmlformats.org/spreadsheetml/2006/main" count="660" uniqueCount="251">
  <si>
    <t>Operating revenues</t>
  </si>
  <si>
    <t>EBITA</t>
  </si>
  <si>
    <t>Operating profit (EBIT)</t>
  </si>
  <si>
    <t>Profit before taxes</t>
  </si>
  <si>
    <t>ROCE</t>
  </si>
  <si>
    <t>ROE</t>
  </si>
  <si>
    <t>Capital expenditure</t>
  </si>
  <si>
    <t>Free cash flow</t>
  </si>
  <si>
    <t>Net cash flow from operating activities</t>
  </si>
  <si>
    <t xml:space="preserve">EUR million  </t>
  </si>
  <si>
    <t>FCF conversion</t>
  </si>
  <si>
    <t>Bruttomargin</t>
  </si>
  <si>
    <t>Arbeidskapital</t>
  </si>
  <si>
    <t>Revenue</t>
  </si>
  <si>
    <t>Cost of goods sold</t>
  </si>
  <si>
    <t>Gross contribution</t>
  </si>
  <si>
    <t>Gross margin</t>
  </si>
  <si>
    <t>Inventory</t>
  </si>
  <si>
    <t>Receivables</t>
  </si>
  <si>
    <t>Contract assets</t>
  </si>
  <si>
    <t>Contract liabilities</t>
  </si>
  <si>
    <t>Other current liabilities</t>
  </si>
  <si>
    <t>Working capital relative to revenue</t>
  </si>
  <si>
    <t>99.1</t>
  </si>
  <si>
    <t>n/a</t>
  </si>
  <si>
    <t>Working capital</t>
  </si>
  <si>
    <t>Trade payables</t>
  </si>
  <si>
    <t>Omsetning</t>
  </si>
  <si>
    <t>COLLECTION</t>
  </si>
  <si>
    <t>Vekst</t>
  </si>
  <si>
    <t>Bruttobidrag</t>
  </si>
  <si>
    <t>Driftskostnader</t>
  </si>
  <si>
    <t>Justert EBITA</t>
  </si>
  <si>
    <t>Justert EBITA-margin</t>
  </si>
  <si>
    <t>RECYCLING</t>
  </si>
  <si>
    <t>FOOD</t>
  </si>
  <si>
    <t>HORIZON</t>
  </si>
  <si>
    <t>KONSERNFUNKSJONER</t>
  </si>
  <si>
    <t>TOMRA GROUP</t>
  </si>
  <si>
    <t>2026E</t>
  </si>
  <si>
    <t>2027E</t>
  </si>
  <si>
    <t>2028E</t>
  </si>
  <si>
    <t>2029E</t>
  </si>
  <si>
    <t>2030E</t>
  </si>
  <si>
    <t>EBITA-margin</t>
  </si>
  <si>
    <t>Collection</t>
  </si>
  <si>
    <t>Omsetningsvekst</t>
  </si>
  <si>
    <t>Vekst i driftskostnader</t>
  </si>
  <si>
    <t>Recycling</t>
  </si>
  <si>
    <t>Food</t>
  </si>
  <si>
    <t>EUR mill</t>
  </si>
  <si>
    <t>Amortisering</t>
  </si>
  <si>
    <t>Skattesats</t>
  </si>
  <si>
    <t>NOPAT</t>
  </si>
  <si>
    <t>Capex</t>
  </si>
  <si>
    <t>Endring i arbeidskapital</t>
  </si>
  <si>
    <t>FCFF</t>
  </si>
  <si>
    <t>FCFF-margin</t>
  </si>
  <si>
    <t>Avskrivninger og amortisering</t>
  </si>
  <si>
    <t>Amortisering av immatrielle eiendeler</t>
  </si>
  <si>
    <t xml:space="preserve">Justert EBIT </t>
  </si>
  <si>
    <t>Amortisering/omsetning</t>
  </si>
  <si>
    <t>D&amp;A/omsetning</t>
  </si>
  <si>
    <t>Capex/Omsetning</t>
  </si>
  <si>
    <t>Arbeidskapital/Omsetning</t>
  </si>
  <si>
    <t>Periode</t>
  </si>
  <si>
    <t>DCF Base</t>
  </si>
  <si>
    <t>Diskonteringsfaktor</t>
  </si>
  <si>
    <t>Nåverdi FCFF</t>
  </si>
  <si>
    <t>WACC</t>
  </si>
  <si>
    <t>Terminalvekst</t>
  </si>
  <si>
    <t>Terminal</t>
  </si>
  <si>
    <t>2031E</t>
  </si>
  <si>
    <t>Terminalverdi</t>
  </si>
  <si>
    <t>Enterprise value</t>
  </si>
  <si>
    <t>Terminal nv</t>
  </si>
  <si>
    <t>Minoritetsinteresser</t>
  </si>
  <si>
    <t>Netto rentebærende gjeld</t>
  </si>
  <si>
    <t>Leasinggjjeld</t>
  </si>
  <si>
    <t>Andre justeringer</t>
  </si>
  <si>
    <t>Egenkapitalverdi</t>
  </si>
  <si>
    <t>Verdi per aksje</t>
  </si>
  <si>
    <t>Verdi per aksje i NOK</t>
  </si>
  <si>
    <t>Aksjekurs</t>
  </si>
  <si>
    <t>Antall aksjer</t>
  </si>
  <si>
    <t>Markedsverdi (NOK)</t>
  </si>
  <si>
    <t>DCF</t>
  </si>
  <si>
    <t>EUR/NOK</t>
  </si>
  <si>
    <t>DCF Bear</t>
  </si>
  <si>
    <t>DCF Bull</t>
  </si>
  <si>
    <t>Base forutsetninger</t>
  </si>
  <si>
    <t>Bear forutsetninger</t>
  </si>
  <si>
    <t>Bull forutsetinger</t>
  </si>
  <si>
    <t>Sannsynlighetsvekter resultatene:</t>
  </si>
  <si>
    <t>Base sannsynlighet</t>
  </si>
  <si>
    <t>Bear sannsynlighet</t>
  </si>
  <si>
    <t>Bull sannsynlighet</t>
  </si>
  <si>
    <t>Verdi per aksje (vektet snitt)</t>
  </si>
  <si>
    <t>Sensitivitetsanalyse</t>
  </si>
  <si>
    <t>Risikofri rente</t>
  </si>
  <si>
    <t>Markedets risikopremie</t>
  </si>
  <si>
    <t>Beta</t>
  </si>
  <si>
    <t>Landrisikopremie</t>
  </si>
  <si>
    <t>Kostnad på egenkapital</t>
  </si>
  <si>
    <t>Kostnad på gjeld f/skatt</t>
  </si>
  <si>
    <t>Kostnad på gjeld etter skatt</t>
  </si>
  <si>
    <t>Aksjekurs i NOK</t>
  </si>
  <si>
    <t>Netto rentebærende gjeld, NOK mill</t>
  </si>
  <si>
    <t>Markedsverdi egenkapital, NOK mill</t>
  </si>
  <si>
    <t>Leasinggjeld</t>
  </si>
  <si>
    <t>Leasinggjeld, NOK mill</t>
  </si>
  <si>
    <t>Gjeld brukt i WACC</t>
  </si>
  <si>
    <t>Totalkapital</t>
  </si>
  <si>
    <t>Egenkapitalvekt</t>
  </si>
  <si>
    <t xml:space="preserve">Gjeldsvekt </t>
  </si>
  <si>
    <t>Kontroll</t>
  </si>
  <si>
    <t>Gjeldsvekt</t>
  </si>
  <si>
    <t>Gjeldskostnad etter skatt</t>
  </si>
  <si>
    <t>WACC-Beregning</t>
  </si>
  <si>
    <t>Dagens aksjekurs</t>
  </si>
  <si>
    <t>Base DCF-verdi</t>
  </si>
  <si>
    <t>Forskjell mot markedskurs</t>
  </si>
  <si>
    <t>Innfasing</t>
  </si>
  <si>
    <t>Implisitt EBITA-margin</t>
  </si>
  <si>
    <t>Base EBITA-margin</t>
  </si>
  <si>
    <t>-</t>
  </si>
  <si>
    <t>Base omsetning</t>
  </si>
  <si>
    <t>Implisitt EBITA</t>
  </si>
  <si>
    <t xml:space="preserve">Implisitt EBIT </t>
  </si>
  <si>
    <t>Skatt</t>
  </si>
  <si>
    <t>Implisitt NOPAT</t>
  </si>
  <si>
    <t>D&amp;A</t>
  </si>
  <si>
    <t>Implisitt FCFF</t>
  </si>
  <si>
    <t>Reverse DCF basert på EBITA-margin</t>
  </si>
  <si>
    <t xml:space="preserve">Reverse DCF basert på vekst </t>
  </si>
  <si>
    <t>2032E</t>
  </si>
  <si>
    <t>2033E</t>
  </si>
  <si>
    <t>2034E</t>
  </si>
  <si>
    <t>2035E</t>
  </si>
  <si>
    <t>Baseomsetning</t>
  </si>
  <si>
    <t>Implisitt omsetning</t>
  </si>
  <si>
    <t>Implisit vekst</t>
  </si>
  <si>
    <t xml:space="preserve">D&amp;A </t>
  </si>
  <si>
    <t>Base Omsetningsvekst</t>
  </si>
  <si>
    <t>Implisitt OMS CAGR</t>
  </si>
  <si>
    <t xml:space="preserve">Terminal </t>
  </si>
  <si>
    <t>2036E</t>
  </si>
  <si>
    <t>Marginpåslag 2035, pp</t>
  </si>
  <si>
    <t>Selskap</t>
  </si>
  <si>
    <t>Envipco</t>
  </si>
  <si>
    <t xml:space="preserve">Tomra-segment </t>
  </si>
  <si>
    <t xml:space="preserve">Relevans </t>
  </si>
  <si>
    <t>Direkte RVM-konkurrent</t>
  </si>
  <si>
    <t>JBT Marel</t>
  </si>
  <si>
    <t>Matprosessering og automasjon</t>
  </si>
  <si>
    <t>GEA Group</t>
  </si>
  <si>
    <t>Krones</t>
  </si>
  <si>
    <t>ANDRITZ</t>
  </si>
  <si>
    <t>Recycling/emballasje</t>
  </si>
  <si>
    <t>Prosessutstyr for mat og drikke</t>
  </si>
  <si>
    <t>PET-, emballasje og resirkuleringssystemer</t>
  </si>
  <si>
    <t>Industrielt prosess- og resirkuleringsutstyr</t>
  </si>
  <si>
    <t>TOMRA - Peer Analyse</t>
  </si>
  <si>
    <t>Brukt som et suplement til DCF - ikke hovedverdsettelsen</t>
  </si>
  <si>
    <t>Gruppe</t>
  </si>
  <si>
    <t xml:space="preserve">TOMRA (markedskonsensus) </t>
  </si>
  <si>
    <t xml:space="preserve">Krones </t>
  </si>
  <si>
    <t>TOMRA</t>
  </si>
  <si>
    <t>Direkte Collection- peer</t>
  </si>
  <si>
    <t>Kjernepeer</t>
  </si>
  <si>
    <t>Kilde: https://www.marketscreener.com/quote/stock/TOMRA-SYSTEMS-ASA-438799/valuation/</t>
  </si>
  <si>
    <t>Kjernemedian</t>
  </si>
  <si>
    <t>TOMRA marked vs median</t>
  </si>
  <si>
    <t>Kilde: https://www.marketscreener.com/quote/stock/ENVIPCO-HOLDING-N-V-46512764/valuation/</t>
  </si>
  <si>
    <t>Kilde: https://www.marketscreener.com/quote/stock/GEA-GROUP-AG-436397/valuation/</t>
  </si>
  <si>
    <t>Kilde: https://www.marketscreener.com/quote/stock/JBT-MAREL-CORPORATION-3860953/</t>
  </si>
  <si>
    <t>Kilde: https://www.marketscreener.com/quote/stock/KRONES-AG-436341/valuation/</t>
  </si>
  <si>
    <t>Kilde: https://www.marketscreener.com/quote/stock/ANDRITZ-AG-6491279/valuation/</t>
  </si>
  <si>
    <t>Salgsvekst</t>
  </si>
  <si>
    <t>EV/Sales</t>
  </si>
  <si>
    <t>EV/EBIT</t>
  </si>
  <si>
    <t>EV/sales</t>
  </si>
  <si>
    <t>P/E</t>
  </si>
  <si>
    <t>Scenario</t>
  </si>
  <si>
    <t>DCF-ekvivalent</t>
  </si>
  <si>
    <t>2027E EV/EBIT</t>
  </si>
  <si>
    <t>2027E EBIT</t>
  </si>
  <si>
    <t>NOK/aksje</t>
  </si>
  <si>
    <t>EUR/aksje</t>
  </si>
  <si>
    <t>Endring</t>
  </si>
  <si>
    <t>UTREGNING BETA</t>
  </si>
  <si>
    <t>OSEBX kurs</t>
  </si>
  <si>
    <t>TOMRA Kurs</t>
  </si>
  <si>
    <t>Dato ukeslutt</t>
  </si>
  <si>
    <t>EV, MEUR</t>
  </si>
  <si>
    <t>Kilde: https://tradingeconomics.com/norway/government-bond-yield</t>
  </si>
  <si>
    <t>*Alle data hentet 31.juli 2026*</t>
  </si>
  <si>
    <t>Omsetningspåslag 2035 %</t>
  </si>
  <si>
    <t xml:space="preserve">Salgsvekst </t>
  </si>
  <si>
    <t xml:space="preserve">EBIT-margin </t>
  </si>
  <si>
    <t>Verdsettelse basert på 2027E multipler</t>
  </si>
  <si>
    <t>´2018-2020 er rapportert i MNOK så har omgjort for å kunne sammenligne´</t>
  </si>
  <si>
    <t>TOMRA ASA</t>
  </si>
  <si>
    <t>Arbeidskapital som andel av omsetning</t>
  </si>
  <si>
    <t>Bear</t>
  </si>
  <si>
    <t>Base</t>
  </si>
  <si>
    <t>Bull</t>
  </si>
  <si>
    <t>Omsetnings-CAGR 2025-2035</t>
  </si>
  <si>
    <t>EBITA-margin 2035</t>
  </si>
  <si>
    <t>DCF-resultat</t>
  </si>
  <si>
    <t>Oppside/nedside</t>
  </si>
  <si>
    <t>Nøkkelforutsetninger</t>
  </si>
  <si>
    <t>Base case</t>
  </si>
  <si>
    <t xml:space="preserve">Implisitt ved markedskurs </t>
  </si>
  <si>
    <t>Avvik</t>
  </si>
  <si>
    <t>Omsetning 2035, MEUR</t>
  </si>
  <si>
    <t>Avvik mot kjernemedian</t>
  </si>
  <si>
    <t xml:space="preserve">TOMRA (egne estimater) </t>
  </si>
  <si>
    <t>TOMRA (egne estimater) vs median</t>
  </si>
  <si>
    <t xml:space="preserve">Kjernemedian </t>
  </si>
  <si>
    <t>Moderat TOMRA premie</t>
  </si>
  <si>
    <t>Implisitt EV, MEUR</t>
  </si>
  <si>
    <t>EK-verdi, MEUR</t>
  </si>
  <si>
    <t>Metode</t>
  </si>
  <si>
    <t>DCF - base case</t>
  </si>
  <si>
    <t>Peer-verdi -kjernemedian</t>
  </si>
  <si>
    <t>Peer-verdi - moderat premie</t>
  </si>
  <si>
    <t>Markedskurs</t>
  </si>
  <si>
    <t>Trading comps -2027E</t>
  </si>
  <si>
    <t xml:space="preserve">År </t>
  </si>
  <si>
    <t>EBITA brukt i beregningen</t>
  </si>
  <si>
    <t xml:space="preserve">ROCE brukt i beregningen </t>
  </si>
  <si>
    <t>EBIT brukt i beregningen</t>
  </si>
  <si>
    <t>Gjennomsnittlig sysselsatt kapital</t>
  </si>
  <si>
    <t>ROIC- Proxy</t>
  </si>
  <si>
    <t>Modell- WACC</t>
  </si>
  <si>
    <t>ROIC- Proxy - WACC</t>
  </si>
  <si>
    <t>Bidrag til netto arbeidskapital</t>
  </si>
  <si>
    <t xml:space="preserve">Varelager </t>
  </si>
  <si>
    <t>Kundefordringer</t>
  </si>
  <si>
    <t>Kontraktseiendeler</t>
  </si>
  <si>
    <t>Kontraktsforpliktelser</t>
  </si>
  <si>
    <t>Leverandørgjeld</t>
  </si>
  <si>
    <t>Andre kortsiktige forpliktelser</t>
  </si>
  <si>
    <t>Netto arbeidskapital</t>
  </si>
  <si>
    <t>Bidrag til endringen</t>
  </si>
  <si>
    <t>TOMRA ASA - Reverse DCF</t>
  </si>
  <si>
    <t>TOMRA ASA - DCF</t>
  </si>
  <si>
    <t>Forecast Base</t>
  </si>
  <si>
    <t>Forecast Bear</t>
  </si>
  <si>
    <t>Forecast 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</si>
</sst>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\ %"/>
    <numFmt numFmtId="165" formatCode="0.000"/>
    <numFmt numFmtId="166" formatCode="0.0"/>
    <numFmt numFmtId="167" formatCode="&quot;kr&quot;\ #,##0.00"/>
    <numFmt numFmtId="168" formatCode="&quot;kr&quot;\ #,##0.0"/>
    <numFmt numFmtId="169" formatCode="_(&quot;kr&quot;\ * #,##0.0_);_(&quot;kr&quot;\ * \(#,##0.0\);_(&quot;kr&quot;\ * &quot;-&quot;??_);_(@_)"/>
    <numFmt numFmtId="170" formatCode="0.00,\p\p"/>
    <numFmt numFmtId="171" formatCode="\ 0.00,\p\p"/>
    <numFmt numFmtId="172" formatCode="&quot;kr&quot;\ #,##0"/>
    <numFmt numFmtId="173" formatCode="\+\ 0\ %"/>
    <numFmt numFmtId="174" formatCode="\+\ 0.0\p\p"/>
    <numFmt numFmtId="175" formatCode="\+\ 0.0,\p\p"/>
    <numFmt numFmtId="176" formatCode="\+0.0"/>
  </numFmts>
  <fonts count="3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 tint="0.499984740745262"/>
      <name val="Aptos Narrow"/>
      <scheme val="minor"/>
    </font>
    <font>
      <sz val="12"/>
      <color theme="1" tint="0.499984740745262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2"/>
      <color rgb="FF4A514C"/>
      <name val="Aptos Narrow"/>
      <scheme val="minor"/>
    </font>
    <font>
      <sz val="12"/>
      <color rgb="FF4A514C"/>
      <name val="Aptos Narrow"/>
      <scheme val="minor"/>
    </font>
    <font>
      <u/>
      <sz val="12"/>
      <color theme="1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 tint="0.49998474074526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scheme val="minor"/>
    </font>
    <font>
      <i/>
      <sz val="12"/>
      <color theme="1" tint="0.499984740745262"/>
      <name val="Aptos Narrow"/>
      <scheme val="minor"/>
    </font>
    <font>
      <sz val="11"/>
      <color rgb="FF000000"/>
      <name val="Carlito"/>
    </font>
    <font>
      <sz val="11"/>
      <color theme="1"/>
      <name val="Aptos Narrow"/>
      <family val="2"/>
      <scheme val="minor"/>
    </font>
    <font>
      <sz val="11"/>
      <color theme="1"/>
      <name val="Aptos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theme="9"/>
      <name val="Aptos Narrow"/>
      <family val="2"/>
      <scheme val="minor"/>
    </font>
    <font>
      <i/>
      <sz val="12"/>
      <color theme="1"/>
      <name val="Aptos Narrow (Brødtekst)"/>
    </font>
    <font>
      <sz val="12"/>
      <color rgb="FF92D050"/>
      <name val="Aptos Narrow"/>
      <family val="2"/>
      <scheme val="minor"/>
    </font>
    <font>
      <sz val="12"/>
      <color theme="0"/>
      <name val="Aptos Narrow"/>
      <scheme val="minor"/>
    </font>
    <font>
      <i/>
      <sz val="12"/>
      <color theme="0"/>
      <name val="Aptos Narrow"/>
      <scheme val="minor"/>
    </font>
    <font>
      <b/>
      <sz val="12"/>
      <color rgb="FFFF0000"/>
      <name val="Aptos Narrow"/>
      <scheme val="minor"/>
    </font>
    <font>
      <b/>
      <u/>
      <sz val="16"/>
      <color theme="4"/>
      <name val="Aptos Narrow"/>
      <scheme val="minor"/>
    </font>
    <font>
      <b/>
      <u/>
      <sz val="14"/>
      <color rgb="FF0070C0"/>
      <name val="Aptos Narrow (Brødtekst)"/>
    </font>
    <font>
      <b/>
      <u/>
      <sz val="14"/>
      <color rgb="FF0070C0"/>
      <name val="Aptos Narrow"/>
      <scheme val="minor"/>
    </font>
    <font>
      <b/>
      <sz val="12"/>
      <color rgb="FF0070C0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CF7A"/>
        <bgColor indexed="64"/>
      </patternFill>
    </fill>
    <fill>
      <patternFill patternType="solid">
        <fgColor rgb="FFE9E28A"/>
        <bgColor indexed="64"/>
      </patternFill>
    </fill>
    <fill>
      <patternFill patternType="solid">
        <fgColor rgb="FFFDE082"/>
        <bgColor indexed="64"/>
      </patternFill>
    </fill>
    <fill>
      <patternFill patternType="solid">
        <fgColor rgb="FFFDDF82"/>
        <bgColor indexed="64"/>
      </patternFill>
    </fill>
    <fill>
      <patternFill patternType="solid">
        <fgColor rgb="FFEEE48B"/>
        <bgColor indexed="64"/>
      </patternFill>
    </fill>
    <fill>
      <patternFill patternType="solid">
        <fgColor rgb="FFE8E38D"/>
        <bgColor indexed="64"/>
      </patternFill>
    </fill>
    <fill>
      <patternFill patternType="solid">
        <fgColor rgb="FFEBE38C"/>
        <bgColor indexed="64"/>
      </patternFill>
    </fill>
    <fill>
      <patternFill patternType="solid">
        <fgColor rgb="FFEBE48D"/>
        <bgColor indexed="64"/>
      </patternFill>
    </fill>
    <fill>
      <patternFill patternType="solid">
        <fgColor rgb="FFE5E38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1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0" fontId="0" fillId="0" borderId="0" xfId="1" applyNumberFormat="1" applyFont="1"/>
    <xf numFmtId="0" fontId="4" fillId="0" borderId="0" xfId="0" applyFont="1"/>
    <xf numFmtId="0" fontId="4" fillId="0" borderId="1" xfId="0" applyFont="1" applyBorder="1"/>
    <xf numFmtId="9" fontId="0" fillId="0" borderId="0" xfId="0" applyNumberFormat="1"/>
    <xf numFmtId="0" fontId="7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3" xfId="0" applyBorder="1"/>
    <xf numFmtId="10" fontId="0" fillId="0" borderId="0" xfId="1" applyNumberFormat="1" applyFont="1" applyBorder="1"/>
    <xf numFmtId="164" fontId="0" fillId="0" borderId="0" xfId="1" applyNumberFormat="1" applyFont="1" applyBorder="1"/>
    <xf numFmtId="9" fontId="0" fillId="0" borderId="0" xfId="1" applyFont="1" applyBorder="1"/>
    <xf numFmtId="164" fontId="7" fillId="0" borderId="0" xfId="1" applyNumberFormat="1" applyFont="1" applyBorder="1"/>
    <xf numFmtId="2" fontId="0" fillId="0" borderId="0" xfId="0" applyNumberFormat="1"/>
    <xf numFmtId="2" fontId="0" fillId="0" borderId="3" xfId="0" applyNumberFormat="1" applyBorder="1"/>
    <xf numFmtId="2" fontId="7" fillId="0" borderId="0" xfId="0" applyNumberFormat="1" applyFont="1"/>
    <xf numFmtId="2" fontId="4" fillId="0" borderId="0" xfId="0" applyNumberFormat="1" applyFont="1"/>
    <xf numFmtId="9" fontId="7" fillId="0" borderId="0" xfId="1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9" xfId="0" applyFont="1" applyBorder="1" applyAlignment="1">
      <alignment horizontal="right"/>
    </xf>
    <xf numFmtId="0" fontId="0" fillId="0" borderId="11" xfId="0" applyBorder="1"/>
    <xf numFmtId="2" fontId="7" fillId="0" borderId="12" xfId="0" applyNumberFormat="1" applyFont="1" applyBorder="1"/>
    <xf numFmtId="164" fontId="7" fillId="0" borderId="12" xfId="1" applyNumberFormat="1" applyFont="1" applyBorder="1"/>
    <xf numFmtId="2" fontId="0" fillId="0" borderId="12" xfId="0" applyNumberFormat="1" applyBorder="1"/>
    <xf numFmtId="0" fontId="4" fillId="0" borderId="11" xfId="0" applyFont="1" applyBorder="1"/>
    <xf numFmtId="0" fontId="0" fillId="0" borderId="13" xfId="0" applyBorder="1"/>
    <xf numFmtId="164" fontId="0" fillId="0" borderId="14" xfId="1" applyNumberFormat="1" applyFont="1" applyBorder="1"/>
    <xf numFmtId="164" fontId="7" fillId="0" borderId="14" xfId="1" applyNumberFormat="1" applyFont="1" applyBorder="1"/>
    <xf numFmtId="164" fontId="7" fillId="0" borderId="15" xfId="1" applyNumberFormat="1" applyFont="1" applyBorder="1"/>
    <xf numFmtId="165" fontId="0" fillId="0" borderId="0" xfId="0" applyNumberFormat="1"/>
    <xf numFmtId="0" fontId="9" fillId="0" borderId="8" xfId="0" applyFont="1" applyBorder="1"/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0" fillId="0" borderId="12" xfId="0" applyNumberFormat="1" applyBorder="1"/>
    <xf numFmtId="0" fontId="0" fillId="0" borderId="12" xfId="0" applyBorder="1"/>
    <xf numFmtId="0" fontId="4" fillId="0" borderId="13" xfId="0" applyFont="1" applyBorder="1"/>
    <xf numFmtId="0" fontId="0" fillId="0" borderId="14" xfId="0" applyBorder="1"/>
    <xf numFmtId="10" fontId="0" fillId="0" borderId="12" xfId="0" applyNumberFormat="1" applyBorder="1"/>
    <xf numFmtId="0" fontId="4" fillId="0" borderId="21" xfId="0" applyFont="1" applyBorder="1"/>
    <xf numFmtId="0" fontId="4" fillId="0" borderId="22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0" fontId="0" fillId="0" borderId="12" xfId="1" applyNumberFormat="1" applyFont="1" applyBorder="1"/>
    <xf numFmtId="10" fontId="0" fillId="0" borderId="0" xfId="1" applyNumberFormat="1" applyFont="1" applyFill="1" applyBorder="1"/>
    <xf numFmtId="9" fontId="0" fillId="0" borderId="9" xfId="0" applyNumberFormat="1" applyBorder="1"/>
    <xf numFmtId="10" fontId="0" fillId="0" borderId="9" xfId="0" applyNumberFormat="1" applyBorder="1"/>
    <xf numFmtId="10" fontId="0" fillId="0" borderId="10" xfId="0" applyNumberFormat="1" applyBorder="1"/>
    <xf numFmtId="9" fontId="0" fillId="0" borderId="12" xfId="0" applyNumberFormat="1" applyBorder="1"/>
    <xf numFmtId="9" fontId="0" fillId="0" borderId="14" xfId="0" applyNumberFormat="1" applyBorder="1"/>
    <xf numFmtId="10" fontId="0" fillId="0" borderId="15" xfId="0" applyNumberFormat="1" applyBorder="1"/>
    <xf numFmtId="0" fontId="4" fillId="0" borderId="24" xfId="0" applyFont="1" applyBorder="1"/>
    <xf numFmtId="10" fontId="11" fillId="0" borderId="14" xfId="1" applyNumberFormat="1" applyFont="1" applyBorder="1"/>
    <xf numFmtId="10" fontId="11" fillId="0" borderId="15" xfId="1" applyNumberFormat="1" applyFont="1" applyBorder="1"/>
    <xf numFmtId="0" fontId="12" fillId="0" borderId="0" xfId="0" applyFont="1"/>
    <xf numFmtId="0" fontId="13" fillId="0" borderId="0" xfId="0" applyFont="1"/>
    <xf numFmtId="2" fontId="0" fillId="0" borderId="20" xfId="0" applyNumberFormat="1" applyBorder="1"/>
    <xf numFmtId="0" fontId="0" fillId="0" borderId="4" xfId="0" applyBorder="1"/>
    <xf numFmtId="2" fontId="0" fillId="0" borderId="4" xfId="0" applyNumberFormat="1" applyBorder="1"/>
    <xf numFmtId="0" fontId="0" fillId="3" borderId="0" xfId="0" applyFill="1"/>
    <xf numFmtId="0" fontId="14" fillId="0" borderId="0" xfId="0" applyFont="1"/>
    <xf numFmtId="164" fontId="0" fillId="0" borderId="14" xfId="0" applyNumberFormat="1" applyBorder="1"/>
    <xf numFmtId="10" fontId="0" fillId="0" borderId="14" xfId="0" applyNumberFormat="1" applyBorder="1"/>
    <xf numFmtId="2" fontId="4" fillId="2" borderId="14" xfId="0" applyNumberFormat="1" applyFont="1" applyFill="1" applyBorder="1"/>
    <xf numFmtId="10" fontId="4" fillId="0" borderId="0" xfId="0" applyNumberFormat="1" applyFont="1"/>
    <xf numFmtId="164" fontId="4" fillId="0" borderId="0" xfId="0" applyNumberFormat="1" applyFont="1"/>
    <xf numFmtId="0" fontId="15" fillId="4" borderId="0" xfId="0" applyFont="1" applyFill="1"/>
    <xf numFmtId="164" fontId="8" fillId="0" borderId="0" xfId="0" applyNumberFormat="1" applyFont="1"/>
    <xf numFmtId="10" fontId="8" fillId="0" borderId="0" xfId="0" applyNumberFormat="1" applyFont="1"/>
    <xf numFmtId="2" fontId="0" fillId="5" borderId="0" xfId="0" applyNumberFormat="1" applyFill="1"/>
    <xf numFmtId="2" fontId="0" fillId="6" borderId="0" xfId="0" applyNumberFormat="1" applyFill="1"/>
    <xf numFmtId="2" fontId="0" fillId="7" borderId="0" xfId="0" applyNumberFormat="1" applyFill="1"/>
    <xf numFmtId="2" fontId="0" fillId="8" borderId="0" xfId="0" applyNumberFormat="1" applyFill="1"/>
    <xf numFmtId="2" fontId="0" fillId="9" borderId="0" xfId="0" applyNumberFormat="1" applyFill="1"/>
    <xf numFmtId="2" fontId="0" fillId="10" borderId="0" xfId="0" applyNumberFormat="1" applyFill="1"/>
    <xf numFmtId="2" fontId="0" fillId="11" borderId="0" xfId="0" applyNumberFormat="1" applyFill="1"/>
    <xf numFmtId="2" fontId="4" fillId="12" borderId="2" xfId="0" applyNumberFormat="1" applyFont="1" applyFill="1" applyBorder="1"/>
    <xf numFmtId="2" fontId="0" fillId="13" borderId="0" xfId="0" applyNumberFormat="1" applyFill="1"/>
    <xf numFmtId="2" fontId="0" fillId="14" borderId="0" xfId="0" applyNumberFormat="1" applyFill="1"/>
    <xf numFmtId="2" fontId="0" fillId="15" borderId="0" xfId="0" applyNumberFormat="1" applyFill="1"/>
    <xf numFmtId="2" fontId="0" fillId="16" borderId="0" xfId="0" applyNumberFormat="1" applyFill="1"/>
    <xf numFmtId="2" fontId="0" fillId="17" borderId="0" xfId="0" applyNumberFormat="1" applyFill="1"/>
    <xf numFmtId="2" fontId="0" fillId="18" borderId="0" xfId="0" applyNumberFormat="1" applyFill="1"/>
    <xf numFmtId="2" fontId="0" fillId="19" borderId="0" xfId="0" applyNumberFormat="1" applyFill="1"/>
    <xf numFmtId="0" fontId="15" fillId="0" borderId="0" xfId="0" applyFont="1" applyAlignment="1">
      <alignment vertical="center"/>
    </xf>
    <xf numFmtId="168" fontId="0" fillId="0" borderId="0" xfId="0" applyNumberFormat="1"/>
    <xf numFmtId="169" fontId="0" fillId="0" borderId="0" xfId="0" applyNumberFormat="1"/>
    <xf numFmtId="0" fontId="4" fillId="0" borderId="23" xfId="0" applyFont="1" applyBorder="1"/>
    <xf numFmtId="10" fontId="4" fillId="0" borderId="23" xfId="1" applyNumberFormat="1" applyFont="1" applyBorder="1"/>
    <xf numFmtId="10" fontId="4" fillId="0" borderId="0" xfId="1" applyNumberFormat="1" applyFont="1"/>
    <xf numFmtId="2" fontId="0" fillId="0" borderId="0" xfId="1" applyNumberFormat="1" applyFont="1"/>
    <xf numFmtId="0" fontId="0" fillId="20" borderId="0" xfId="0" applyFill="1"/>
    <xf numFmtId="0" fontId="8" fillId="0" borderId="0" xfId="0" applyFont="1"/>
    <xf numFmtId="2" fontId="8" fillId="0" borderId="0" xfId="1" applyNumberFormat="1" applyFont="1"/>
    <xf numFmtId="0" fontId="16" fillId="0" borderId="0" xfId="0" applyFont="1"/>
    <xf numFmtId="167" fontId="16" fillId="0" borderId="0" xfId="1" applyNumberFormat="1" applyFont="1"/>
    <xf numFmtId="167" fontId="16" fillId="0" borderId="0" xfId="0" applyNumberFormat="1" applyFont="1"/>
    <xf numFmtId="10" fontId="16" fillId="0" borderId="0" xfId="0" applyNumberFormat="1" applyFont="1"/>
    <xf numFmtId="9" fontId="16" fillId="0" borderId="0" xfId="0" applyNumberFormat="1" applyFont="1"/>
    <xf numFmtId="0" fontId="0" fillId="0" borderId="0" xfId="0" applyAlignment="1">
      <alignment horizontal="left" vertical="top"/>
    </xf>
    <xf numFmtId="2" fontId="8" fillId="0" borderId="0" xfId="0" applyNumberFormat="1" applyFont="1"/>
    <xf numFmtId="2" fontId="4" fillId="0" borderId="1" xfId="0" applyNumberFormat="1" applyFont="1" applyBorder="1"/>
    <xf numFmtId="0" fontId="18" fillId="0" borderId="0" xfId="0" applyFont="1"/>
    <xf numFmtId="9" fontId="4" fillId="0" borderId="0" xfId="0" applyNumberFormat="1" applyFont="1" applyAlignment="1">
      <alignment horizontal="left" vertical="top"/>
    </xf>
    <xf numFmtId="0" fontId="8" fillId="0" borderId="23" xfId="0" applyFont="1" applyBorder="1"/>
    <xf numFmtId="2" fontId="8" fillId="0" borderId="23" xfId="0" applyNumberFormat="1" applyFont="1" applyBorder="1"/>
    <xf numFmtId="0" fontId="6" fillId="0" borderId="0" xfId="0" applyFont="1"/>
    <xf numFmtId="10" fontId="6" fillId="0" borderId="0" xfId="1" applyNumberFormat="1" applyFont="1"/>
    <xf numFmtId="0" fontId="17" fillId="7" borderId="0" xfId="0" applyFont="1" applyFill="1"/>
    <xf numFmtId="10" fontId="17" fillId="7" borderId="0" xfId="1" applyNumberFormat="1" applyFont="1" applyFill="1" applyBorder="1"/>
    <xf numFmtId="0" fontId="9" fillId="0" borderId="0" xfId="0" applyFont="1" applyAlignment="1">
      <alignment horizontal="right"/>
    </xf>
    <xf numFmtId="164" fontId="7" fillId="0" borderId="0" xfId="1" applyNumberFormat="1" applyFont="1" applyFill="1" applyBorder="1"/>
    <xf numFmtId="0" fontId="10" fillId="0" borderId="13" xfId="0" applyFont="1" applyBorder="1"/>
    <xf numFmtId="2" fontId="0" fillId="0" borderId="14" xfId="0" applyNumberFormat="1" applyBorder="1"/>
    <xf numFmtId="2" fontId="0" fillId="0" borderId="15" xfId="0" applyNumberFormat="1" applyBorder="1"/>
    <xf numFmtId="0" fontId="4" fillId="0" borderId="10" xfId="0" applyFont="1" applyBorder="1" applyAlignment="1">
      <alignment horizontal="right"/>
    </xf>
    <xf numFmtId="164" fontId="0" fillId="0" borderId="12" xfId="1" applyNumberFormat="1" applyFont="1" applyBorder="1"/>
    <xf numFmtId="164" fontId="7" fillId="0" borderId="12" xfId="1" applyNumberFormat="1" applyFont="1" applyFill="1" applyBorder="1"/>
    <xf numFmtId="10" fontId="0" fillId="0" borderId="12" xfId="1" applyNumberFormat="1" applyFont="1" applyFill="1" applyBorder="1"/>
    <xf numFmtId="164" fontId="0" fillId="0" borderId="15" xfId="0" applyNumberFormat="1" applyBorder="1"/>
    <xf numFmtId="170" fontId="0" fillId="0" borderId="0" xfId="0" applyNumberFormat="1"/>
    <xf numFmtId="10" fontId="16" fillId="0" borderId="0" xfId="1" applyNumberFormat="1" applyFont="1" applyBorder="1"/>
    <xf numFmtId="0" fontId="16" fillId="0" borderId="12" xfId="0" applyFont="1" applyBorder="1"/>
    <xf numFmtId="10" fontId="0" fillId="0" borderId="5" xfId="1" applyNumberFormat="1" applyFont="1" applyBorder="1"/>
    <xf numFmtId="10" fontId="16" fillId="0" borderId="5" xfId="1" applyNumberFormat="1" applyFont="1" applyBorder="1"/>
    <xf numFmtId="0" fontId="16" fillId="0" borderId="3" xfId="0" applyFont="1" applyBorder="1"/>
    <xf numFmtId="0" fontId="4" fillId="0" borderId="16" xfId="0" applyFont="1" applyBorder="1"/>
    <xf numFmtId="0" fontId="5" fillId="0" borderId="11" xfId="0" applyFont="1" applyBorder="1"/>
    <xf numFmtId="0" fontId="19" fillId="0" borderId="0" xfId="0" applyFont="1"/>
    <xf numFmtId="166" fontId="0" fillId="0" borderId="0" xfId="0" applyNumberFormat="1"/>
    <xf numFmtId="166" fontId="0" fillId="0" borderId="12" xfId="0" applyNumberFormat="1" applyBorder="1"/>
    <xf numFmtId="166" fontId="0" fillId="0" borderId="14" xfId="0" applyNumberFormat="1" applyBorder="1"/>
    <xf numFmtId="166" fontId="0" fillId="0" borderId="15" xfId="0" applyNumberFormat="1" applyBorder="1"/>
    <xf numFmtId="0" fontId="4" fillId="0" borderId="19" xfId="0" applyFont="1" applyBorder="1"/>
    <xf numFmtId="0" fontId="4" fillId="0" borderId="20" xfId="0" applyFont="1" applyBorder="1"/>
    <xf numFmtId="0" fontId="4" fillId="0" borderId="7" xfId="0" applyFont="1" applyBorder="1"/>
    <xf numFmtId="164" fontId="0" fillId="0" borderId="15" xfId="1" applyNumberFormat="1" applyFont="1" applyBorder="1"/>
    <xf numFmtId="0" fontId="20" fillId="0" borderId="0" xfId="0" applyFont="1"/>
    <xf numFmtId="10" fontId="20" fillId="0" borderId="0" xfId="0" applyNumberFormat="1" applyFont="1"/>
    <xf numFmtId="4" fontId="20" fillId="0" borderId="0" xfId="0" applyNumberFormat="1" applyFont="1"/>
    <xf numFmtId="14" fontId="22" fillId="0" borderId="0" xfId="0" applyNumberFormat="1" applyFont="1"/>
    <xf numFmtId="10" fontId="21" fillId="0" borderId="0" xfId="1" applyNumberFormat="1" applyFont="1"/>
    <xf numFmtId="1" fontId="0" fillId="0" borderId="0" xfId="0" applyNumberFormat="1"/>
    <xf numFmtId="0" fontId="23" fillId="0" borderId="0" xfId="0" applyFont="1"/>
    <xf numFmtId="14" fontId="24" fillId="0" borderId="0" xfId="0" applyNumberFormat="1" applyFont="1"/>
    <xf numFmtId="2" fontId="23" fillId="0" borderId="0" xfId="0" applyNumberFormat="1" applyFont="1"/>
    <xf numFmtId="10" fontId="23" fillId="0" borderId="0" xfId="1" applyNumberFormat="1" applyFont="1"/>
    <xf numFmtId="0" fontId="13" fillId="20" borderId="0" xfId="0" applyFont="1" applyFill="1"/>
    <xf numFmtId="1" fontId="7" fillId="0" borderId="0" xfId="0" applyNumberFormat="1" applyFont="1"/>
    <xf numFmtId="2" fontId="15" fillId="0" borderId="0" xfId="0" applyNumberFormat="1" applyFont="1"/>
    <xf numFmtId="170" fontId="25" fillId="0" borderId="0" xfId="1" applyNumberFormat="1" applyFont="1" applyBorder="1"/>
    <xf numFmtId="170" fontId="25" fillId="0" borderId="14" xfId="1" applyNumberFormat="1" applyFont="1" applyBorder="1"/>
    <xf numFmtId="171" fontId="25" fillId="0" borderId="5" xfId="1" applyNumberFormat="1" applyFont="1" applyBorder="1"/>
    <xf numFmtId="171" fontId="25" fillId="0" borderId="27" xfId="1" applyNumberFormat="1" applyFont="1" applyBorder="1"/>
    <xf numFmtId="171" fontId="25" fillId="0" borderId="14" xfId="1" applyNumberFormat="1" applyFont="1" applyBorder="1"/>
    <xf numFmtId="0" fontId="15" fillId="21" borderId="13" xfId="0" applyFont="1" applyFill="1" applyBorder="1"/>
    <xf numFmtId="0" fontId="15" fillId="21" borderId="11" xfId="0" applyFont="1" applyFill="1" applyBorder="1"/>
    <xf numFmtId="2" fontId="0" fillId="0" borderId="15" xfId="1" applyNumberFormat="1" applyFont="1" applyBorder="1" applyAlignment="1">
      <alignment horizontal="center"/>
    </xf>
    <xf numFmtId="164" fontId="2" fillId="22" borderId="0" xfId="1" applyNumberFormat="1" applyFont="1" applyFill="1" applyBorder="1"/>
    <xf numFmtId="164" fontId="2" fillId="22" borderId="3" xfId="1" applyNumberFormat="1" applyFont="1" applyFill="1" applyBorder="1"/>
    <xf numFmtId="164" fontId="2" fillId="22" borderId="14" xfId="1" applyNumberFormat="1" applyFont="1" applyFill="1" applyBorder="1"/>
    <xf numFmtId="164" fontId="2" fillId="22" borderId="17" xfId="1" applyNumberFormat="1" applyFont="1" applyFill="1" applyBorder="1"/>
    <xf numFmtId="164" fontId="27" fillId="0" borderId="12" xfId="1" applyNumberFormat="1" applyFont="1" applyBorder="1"/>
    <xf numFmtId="0" fontId="7" fillId="23" borderId="14" xfId="0" applyFont="1" applyFill="1" applyBorder="1"/>
    <xf numFmtId="0" fontId="4" fillId="20" borderId="9" xfId="0" applyFont="1" applyFill="1" applyBorder="1"/>
    <xf numFmtId="0" fontId="15" fillId="20" borderId="26" xfId="0" applyFont="1" applyFill="1" applyBorder="1"/>
    <xf numFmtId="0" fontId="15" fillId="20" borderId="9" xfId="0" applyFont="1" applyFill="1" applyBorder="1"/>
    <xf numFmtId="0" fontId="15" fillId="20" borderId="16" xfId="0" applyFont="1" applyFill="1" applyBorder="1"/>
    <xf numFmtId="0" fontId="28" fillId="20" borderId="9" xfId="0" applyFont="1" applyFill="1" applyBorder="1"/>
    <xf numFmtId="0" fontId="28" fillId="20" borderId="10" xfId="0" applyFont="1" applyFill="1" applyBorder="1"/>
    <xf numFmtId="0" fontId="15" fillId="20" borderId="8" xfId="0" applyFont="1" applyFill="1" applyBorder="1"/>
    <xf numFmtId="0" fontId="4" fillId="24" borderId="28" xfId="0" applyFont="1" applyFill="1" applyBorder="1"/>
    <xf numFmtId="0" fontId="9" fillId="24" borderId="29" xfId="0" applyFont="1" applyFill="1" applyBorder="1"/>
    <xf numFmtId="0" fontId="4" fillId="24" borderId="30" xfId="0" applyFont="1" applyFill="1" applyBorder="1"/>
    <xf numFmtId="0" fontId="4" fillId="24" borderId="29" xfId="0" applyFont="1" applyFill="1" applyBorder="1"/>
    <xf numFmtId="0" fontId="4" fillId="24" borderId="31" xfId="0" applyFont="1" applyFill="1" applyBorder="1"/>
    <xf numFmtId="0" fontId="4" fillId="24" borderId="32" xfId="0" applyFont="1" applyFill="1" applyBorder="1"/>
    <xf numFmtId="0" fontId="15" fillId="20" borderId="0" xfId="0" applyFont="1" applyFill="1"/>
    <xf numFmtId="0" fontId="4" fillId="0" borderId="25" xfId="0" applyFont="1" applyBorder="1"/>
    <xf numFmtId="164" fontId="6" fillId="0" borderId="14" xfId="1" applyNumberFormat="1" applyFont="1" applyBorder="1"/>
    <xf numFmtId="164" fontId="6" fillId="0" borderId="15" xfId="1" applyNumberFormat="1" applyFont="1" applyBorder="1"/>
    <xf numFmtId="0" fontId="4" fillId="0" borderId="18" xfId="0" applyFont="1" applyBorder="1"/>
    <xf numFmtId="0" fontId="5" fillId="0" borderId="22" xfId="0" applyFont="1" applyBorder="1"/>
    <xf numFmtId="0" fontId="15" fillId="20" borderId="7" xfId="0" applyFont="1" applyFill="1" applyBorder="1"/>
    <xf numFmtId="0" fontId="15" fillId="20" borderId="19" xfId="0" applyFont="1" applyFill="1" applyBorder="1"/>
    <xf numFmtId="0" fontId="15" fillId="20" borderId="20" xfId="0" applyFont="1" applyFill="1" applyBorder="1"/>
    <xf numFmtId="0" fontId="29" fillId="20" borderId="0" xfId="0" applyFont="1" applyFill="1"/>
    <xf numFmtId="0" fontId="9" fillId="0" borderId="19" xfId="0" applyFont="1" applyBorder="1"/>
    <xf numFmtId="10" fontId="4" fillId="0" borderId="26" xfId="1" applyNumberFormat="1" applyFont="1" applyBorder="1"/>
    <xf numFmtId="10" fontId="4" fillId="0" borderId="19" xfId="1" applyNumberFormat="1" applyFont="1" applyBorder="1"/>
    <xf numFmtId="164" fontId="4" fillId="0" borderId="14" xfId="1" applyNumberFormat="1" applyFont="1" applyBorder="1"/>
    <xf numFmtId="164" fontId="4" fillId="0" borderId="15" xfId="1" applyNumberFormat="1" applyFont="1" applyBorder="1"/>
    <xf numFmtId="0" fontId="3" fillId="0" borderId="0" xfId="0" applyFont="1"/>
    <xf numFmtId="164" fontId="3" fillId="0" borderId="0" xfId="0" applyNumberFormat="1" applyFont="1"/>
    <xf numFmtId="0" fontId="0" fillId="0" borderId="9" xfId="0" applyBorder="1" applyAlignment="1">
      <alignment horizontal="right"/>
    </xf>
    <xf numFmtId="10" fontId="3" fillId="0" borderId="0" xfId="1" applyNumberFormat="1" applyFont="1"/>
    <xf numFmtId="172" fontId="0" fillId="0" borderId="15" xfId="0" applyNumberFormat="1" applyBorder="1"/>
    <xf numFmtId="0" fontId="0" fillId="0" borderId="34" xfId="0" applyBorder="1"/>
    <xf numFmtId="0" fontId="0" fillId="0" borderId="35" xfId="0" applyBorder="1"/>
    <xf numFmtId="0" fontId="4" fillId="0" borderId="35" xfId="0" applyFont="1" applyBorder="1"/>
    <xf numFmtId="0" fontId="4" fillId="0" borderId="34" xfId="0" applyFont="1" applyBorder="1"/>
    <xf numFmtId="0" fontId="15" fillId="20" borderId="33" xfId="0" applyFont="1" applyFill="1" applyBorder="1"/>
    <xf numFmtId="172" fontId="4" fillId="0" borderId="0" xfId="0" applyNumberFormat="1" applyFont="1"/>
    <xf numFmtId="172" fontId="4" fillId="26" borderId="0" xfId="0" applyNumberFormat="1" applyFont="1" applyFill="1"/>
    <xf numFmtId="0" fontId="4" fillId="26" borderId="0" xfId="0" applyFont="1" applyFill="1"/>
    <xf numFmtId="164" fontId="0" fillId="26" borderId="0" xfId="0" applyNumberFormat="1" applyFill="1"/>
    <xf numFmtId="0" fontId="0" fillId="26" borderId="0" xfId="0" applyFill="1"/>
    <xf numFmtId="172" fontId="0" fillId="0" borderId="0" xfId="1" applyNumberFormat="1" applyFont="1" applyBorder="1"/>
    <xf numFmtId="172" fontId="0" fillId="0" borderId="12" xfId="1" applyNumberFormat="1" applyFont="1" applyBorder="1"/>
    <xf numFmtId="10" fontId="2" fillId="0" borderId="14" xfId="1" applyNumberFormat="1" applyFont="1" applyBorder="1"/>
    <xf numFmtId="10" fontId="25" fillId="0" borderId="15" xfId="1" applyNumberFormat="1" applyFont="1" applyBorder="1"/>
    <xf numFmtId="172" fontId="4" fillId="25" borderId="0" xfId="1" applyNumberFormat="1" applyFont="1" applyFill="1" applyBorder="1"/>
    <xf numFmtId="10" fontId="30" fillId="25" borderId="14" xfId="1" applyNumberFormat="1" applyFont="1" applyFill="1" applyBorder="1"/>
    <xf numFmtId="0" fontId="15" fillId="20" borderId="36" xfId="0" applyFont="1" applyFill="1" applyBorder="1" applyAlignment="1">
      <alignment horizontal="right"/>
    </xf>
    <xf numFmtId="0" fontId="15" fillId="20" borderId="39" xfId="0" applyFont="1" applyFill="1" applyBorder="1"/>
    <xf numFmtId="173" fontId="4" fillId="0" borderId="37" xfId="1" applyNumberFormat="1" applyFont="1" applyBorder="1"/>
    <xf numFmtId="174" fontId="4" fillId="0" borderId="37" xfId="0" applyNumberFormat="1" applyFont="1" applyBorder="1"/>
    <xf numFmtId="175" fontId="4" fillId="0" borderId="38" xfId="0" applyNumberFormat="1" applyFont="1" applyBorder="1"/>
    <xf numFmtId="0" fontId="26" fillId="23" borderId="0" xfId="0" applyFont="1" applyFill="1"/>
    <xf numFmtId="172" fontId="0" fillId="0" borderId="12" xfId="0" applyNumberFormat="1" applyBorder="1"/>
    <xf numFmtId="0" fontId="31" fillId="0" borderId="0" xfId="0" applyFont="1"/>
    <xf numFmtId="0" fontId="15" fillId="20" borderId="18" xfId="0" applyFont="1" applyFill="1" applyBorder="1"/>
    <xf numFmtId="0" fontId="4" fillId="0" borderId="39" xfId="0" applyFont="1" applyBorder="1"/>
    <xf numFmtId="0" fontId="4" fillId="0" borderId="12" xfId="0" applyFont="1" applyBorder="1"/>
    <xf numFmtId="176" fontId="4" fillId="0" borderId="12" xfId="0" applyNumberFormat="1" applyFont="1" applyBorder="1"/>
    <xf numFmtId="176" fontId="4" fillId="0" borderId="15" xfId="0" applyNumberFormat="1" applyFont="1" applyBorder="1"/>
    <xf numFmtId="164" fontId="3" fillId="0" borderId="0" xfId="1" applyNumberFormat="1" applyFont="1"/>
    <xf numFmtId="2" fontId="0" fillId="0" borderId="19" xfId="0" applyNumberFormat="1" applyBorder="1"/>
    <xf numFmtId="0" fontId="32" fillId="0" borderId="0" xfId="0" applyFont="1"/>
    <xf numFmtId="0" fontId="33" fillId="0" borderId="0" xfId="0" applyFont="1"/>
    <xf numFmtId="0" fontId="34" fillId="0" borderId="6" xfId="0" applyFont="1" applyBorder="1"/>
    <xf numFmtId="0" fontId="18" fillId="0" borderId="0" xfId="0" applyFont="1" applyAlignment="1">
      <alignment horizontal="center"/>
    </xf>
    <xf numFmtId="0" fontId="9" fillId="0" borderId="18" xfId="0" applyFont="1" applyBorder="1"/>
    <xf numFmtId="0" fontId="9" fillId="0" borderId="19" xfId="0" applyFont="1" applyBorder="1" applyAlignment="1">
      <alignment horizontal="right"/>
    </xf>
    <xf numFmtId="0" fontId="9" fillId="0" borderId="20" xfId="0" applyFont="1" applyBorder="1" applyAlignment="1">
      <alignment horizontal="right"/>
    </xf>
    <xf numFmtId="2" fontId="0" fillId="0" borderId="0" xfId="0" applyNumberFormat="1" applyBorder="1"/>
    <xf numFmtId="164" fontId="0" fillId="0" borderId="0" xfId="0" applyNumberFormat="1" applyBorder="1"/>
    <xf numFmtId="10" fontId="0" fillId="0" borderId="0" xfId="0" applyNumberFormat="1" applyBorder="1"/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colors>
    <mruColors>
      <color rgb="FFE5E38D"/>
      <color rgb="FFEBE48D"/>
      <color rgb="FFEBE38C"/>
      <color rgb="FFE8E38D"/>
      <color rgb="FFEEE48B"/>
      <color rgb="FFFDDF82"/>
      <color rgb="FFFDE082"/>
      <color rgb="FFE9E28A"/>
      <color rgb="FFFDCF7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300" b="1" i="0">
                <a:latin typeface="Aptos SemiBold" panose="020B0004020202020204" pitchFamily="34" charset="0"/>
              </a:rPr>
              <a:t>Omsetningsutvikling og bruttomargin, 2019-2025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'Historiske finansielle tall'!$B$40</c:f>
              <c:strCache>
                <c:ptCount val="1"/>
                <c:pt idx="0">
                  <c:v>Omsetning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14533B"/>
              </a:solidFill>
            </a:ln>
            <a:effectLst/>
          </c:spPr>
          <c:invertIfNegative val="0"/>
          <c:cat>
            <c:numRef>
              <c:f>'Historiske finansielle tall'!$C$39:$I$39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'Historiske finansielle tall'!$C$40:$I$40</c:f>
              <c:numCache>
                <c:formatCode>General</c:formatCode>
                <c:ptCount val="7"/>
                <c:pt idx="0">
                  <c:v>948.2</c:v>
                </c:pt>
                <c:pt idx="1">
                  <c:v>927.1</c:v>
                </c:pt>
                <c:pt idx="2">
                  <c:v>1074.3</c:v>
                </c:pt>
                <c:pt idx="3">
                  <c:v>1204.8</c:v>
                </c:pt>
                <c:pt idx="4">
                  <c:v>1288</c:v>
                </c:pt>
                <c:pt idx="5">
                  <c:v>1348</c:v>
                </c:pt>
                <c:pt idx="6">
                  <c:v>1318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E-2048-8AB3-618F15414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85904"/>
        <c:axId val="1156287696"/>
      </c:barChart>
      <c:lineChart>
        <c:grouping val="standard"/>
        <c:varyColors val="0"/>
        <c:ser>
          <c:idx val="1"/>
          <c:order val="1"/>
          <c:tx>
            <c:strRef>
              <c:f>'Historiske finansielle tall'!$B$41</c:f>
              <c:strCache>
                <c:ptCount val="1"/>
                <c:pt idx="0">
                  <c:v>Bruttomargin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'Historiske finansielle tall'!$C$39:$I$39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'Historiske finansielle tall'!$C$41:$I$41</c:f>
              <c:numCache>
                <c:formatCode>0.0\ %</c:formatCode>
                <c:ptCount val="7"/>
                <c:pt idx="0">
                  <c:v>0.4371440624340856</c:v>
                </c:pt>
                <c:pt idx="1">
                  <c:v>0.43921907021896239</c:v>
                </c:pt>
                <c:pt idx="2">
                  <c:v>0.43898352415526382</c:v>
                </c:pt>
                <c:pt idx="3">
                  <c:v>0.41442563081009293</c:v>
                </c:pt>
                <c:pt idx="4">
                  <c:v>0.42569875776397514</c:v>
                </c:pt>
                <c:pt idx="5">
                  <c:v>0.43323442136498519</c:v>
                </c:pt>
                <c:pt idx="6">
                  <c:v>0.44385432473444614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E-2048-8AB3-618F15414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297824"/>
        <c:axId val="1156296096"/>
      </c:lineChart>
      <c:catAx>
        <c:axId val="115628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6287696"/>
        <c:crosses val="autoZero"/>
        <c:auto val="1"/>
        <c:lblAlgn val="ctr"/>
        <c:lblOffset val="100"/>
        <c:noMultiLvlLbl val="0"/>
      </c:catAx>
      <c:valAx>
        <c:axId val="11562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EDA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900">
                    <a:latin typeface="Aptos" panose="020B0004020202020204" pitchFamily="34" charset="0"/>
                  </a:rPr>
                  <a:t>Omsetning, EUR mill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EDA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6285904"/>
        <c:crosses val="autoZero"/>
        <c:crossBetween val="between"/>
        <c:majorUnit val="250"/>
      </c:valAx>
      <c:valAx>
        <c:axId val="1156296096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900">
                    <a:latin typeface="Aptos" panose="020B0004020202020204" pitchFamily="34" charset="0"/>
                  </a:rPr>
                  <a:t>Bruttomargin,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6297824"/>
        <c:crosses val="max"/>
        <c:crossBetween val="between"/>
      </c:valAx>
      <c:catAx>
        <c:axId val="1156297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6296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latin typeface="Aptos SemiBold" panose="020B0004020202020204" pitchFamily="34" charset="0"/>
              </a:rPr>
              <a:t>Kontantkonvertering,</a:t>
            </a:r>
            <a:r>
              <a:rPr lang="en-US" b="1" i="0" baseline="0">
                <a:latin typeface="Aptos SemiBold" panose="020B0004020202020204" pitchFamily="34" charset="0"/>
              </a:rPr>
              <a:t> 2019-2025</a:t>
            </a:r>
            <a:endParaRPr lang="en-US" b="1" i="0">
              <a:latin typeface="Aptos Semi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'Historiske finansielle tall'!$B$17</c:f>
              <c:strCache>
                <c:ptCount val="1"/>
                <c:pt idx="0">
                  <c:v>FCF conversion</c:v>
                </c:pt>
              </c:strCache>
            </c:strRef>
          </c:tx>
          <c:spPr>
            <a:ln w="28575" cap="rnd">
              <a:solidFill>
                <a:srgbClr val="14533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810068586392738E-2"/>
                  <c:y val="-8.1813307991546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705-8245-B886-D0A4E5618960}"/>
                </c:ext>
              </c:extLst>
            </c:dLbl>
            <c:dLbl>
              <c:idx val="1"/>
              <c:layout>
                <c:manualLayout>
                  <c:x val="-5.7532334858629373E-2"/>
                  <c:y val="-6.6274515593442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705-8245-B886-D0A4E5618960}"/>
                </c:ext>
              </c:extLst>
            </c:dLbl>
            <c:dLbl>
              <c:idx val="2"/>
              <c:layout>
                <c:manualLayout>
                  <c:x val="-5.7532334858629373E-2"/>
                  <c:y val="-7.0847530985780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705-8245-B886-D0A4E5618960}"/>
                </c:ext>
              </c:extLst>
            </c:dLbl>
            <c:dLbl>
              <c:idx val="3"/>
              <c:layout>
                <c:manualLayout>
                  <c:x val="-3.3488246653689997E-2"/>
                  <c:y val="-0.129597860567006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72-E343-979E-78F1A9520734}"/>
                </c:ext>
              </c:extLst>
            </c:dLbl>
            <c:dLbl>
              <c:idx val="4"/>
              <c:layout>
                <c:manualLayout>
                  <c:x val="-5.7532334858629373E-2"/>
                  <c:y val="-7.0847530985780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705-8245-B886-D0A4E5618960}"/>
                </c:ext>
              </c:extLst>
            </c:dLbl>
            <c:dLbl>
              <c:idx val="5"/>
              <c:layout>
                <c:manualLayout>
                  <c:x val="-5.7532334858629471E-2"/>
                  <c:y val="-6.6274515593442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705-8245-B886-D0A4E5618960}"/>
                </c:ext>
              </c:extLst>
            </c:dLbl>
            <c:dLbl>
              <c:idx val="6"/>
              <c:layout>
                <c:manualLayout>
                  <c:x val="-1.9525842691200484E-2"/>
                  <c:y val="-0.124415710038549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2-E343-979E-78F1A95207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'Historiske finansielle tall'!$D$9:$J$9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'Historiske finansielle tall'!$D$17:$J$17</c:f>
              <c:numCache>
                <c:formatCode>0.0\ %</c:formatCode>
                <c:ptCount val="7"/>
                <c:pt idx="0">
                  <c:v>0.49071428571428582</c:v>
                </c:pt>
                <c:pt idx="1">
                  <c:v>0.72304439746300209</c:v>
                </c:pt>
                <c:pt idx="2">
                  <c:v>0.66953528399311524</c:v>
                </c:pt>
                <c:pt idx="3">
                  <c:v>0.19763092269326685</c:v>
                </c:pt>
                <c:pt idx="4">
                  <c:v>0.36890756302521011</c:v>
                </c:pt>
                <c:pt idx="5">
                  <c:v>0.66590909090909089</c:v>
                </c:pt>
                <c:pt idx="6">
                  <c:v>0.22643678160919545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5-8245-B886-D0A4E5618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950943"/>
        <c:axId val="742890783"/>
      </c:lineChart>
      <c:catAx>
        <c:axId val="108095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42890783"/>
        <c:crosses val="autoZero"/>
        <c:auto val="1"/>
        <c:lblAlgn val="ctr"/>
        <c:lblOffset val="100"/>
        <c:tickLblSkip val="1"/>
        <c:noMultiLvlLbl val="0"/>
      </c:catAx>
      <c:valAx>
        <c:axId val="74289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FCF/EBITA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8095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300" b="1"/>
              <a:t>Utvikling i justert EBITA og EBITA-margin, 2019-2025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'Historiske finansielle tall'!$B$54</c:f>
              <c:strCache>
                <c:ptCount val="1"/>
                <c:pt idx="0">
                  <c:v>Justert EBITA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'Historiske finansielle tall'!$C$53:$I$53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'Historiske finansielle tall'!$C$54:$I$54</c:f>
              <c:numCache>
                <c:formatCode>General</c:formatCode>
                <c:ptCount val="7"/>
                <c:pt idx="0">
                  <c:v>140</c:v>
                </c:pt>
                <c:pt idx="1">
                  <c:v>141.9</c:v>
                </c:pt>
                <c:pt idx="2">
                  <c:v>174.3</c:v>
                </c:pt>
                <c:pt idx="3">
                  <c:v>160.4</c:v>
                </c:pt>
                <c:pt idx="4">
                  <c:v>119</c:v>
                </c:pt>
                <c:pt idx="5">
                  <c:v>176</c:v>
                </c:pt>
                <c:pt idx="6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E-6742-97FC-C378AB2AC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546639"/>
        <c:axId val="1486394175"/>
      </c:barChart>
      <c:lineChart>
        <c:grouping val="standard"/>
        <c:varyColors val="0"/>
        <c:ser>
          <c:idx val="1"/>
          <c:order val="1"/>
          <c:tx>
            <c:strRef>
              <c:f>'Historiske finansielle tall'!$B$55</c:f>
              <c:strCache>
                <c:ptCount val="1"/>
                <c:pt idx="0">
                  <c:v>EBITA-margin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'Historiske finansielle tall'!$C$53:$I$53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'Historiske finansielle tall'!$C$55:$I$55</c:f>
              <c:numCache>
                <c:formatCode>0.00%</c:formatCode>
                <c:ptCount val="7"/>
                <c:pt idx="0">
                  <c:v>0.14764817549040285</c:v>
                </c:pt>
                <c:pt idx="1">
                  <c:v>0.15305792255420128</c:v>
                </c:pt>
                <c:pt idx="2">
                  <c:v>0.16224518290980175</c:v>
                </c:pt>
                <c:pt idx="3">
                  <c:v>0.13313413014608236</c:v>
                </c:pt>
                <c:pt idx="4">
                  <c:v>9.2391304347826081E-2</c:v>
                </c:pt>
                <c:pt idx="5">
                  <c:v>0.13056379821958458</c:v>
                </c:pt>
                <c:pt idx="6">
                  <c:v>0.13201820940819423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E-6742-97FC-C378AB2AC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835584"/>
        <c:axId val="1144814272"/>
      </c:lineChart>
      <c:catAx>
        <c:axId val="176354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86394175"/>
        <c:crosses val="autoZero"/>
        <c:auto val="1"/>
        <c:lblAlgn val="ctr"/>
        <c:lblOffset val="100"/>
        <c:noMultiLvlLbl val="0"/>
      </c:catAx>
      <c:valAx>
        <c:axId val="14863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Justert EBITA, MEUR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63546639"/>
        <c:crosses val="autoZero"/>
        <c:crossBetween val="between"/>
      </c:valAx>
      <c:valAx>
        <c:axId val="11448142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EBITA-margin,</a:t>
                </a:r>
                <a:r>
                  <a:rPr lang="nb-NO" baseline="0"/>
                  <a:t> %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\ 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73835584"/>
        <c:crosses val="max"/>
        <c:crossBetween val="between"/>
      </c:valAx>
      <c:catAx>
        <c:axId val="1173835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4814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/>
              <a:t>Utvikling i arbeidskapital</a:t>
            </a:r>
            <a:r>
              <a:rPr lang="en-US" sz="1300" b="1" baseline="0"/>
              <a:t> som andel av omsetning, 2019-2025</a:t>
            </a:r>
            <a:endParaRPr lang="en-US" sz="1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'Historiske finansielle tall'!$B$69</c:f>
              <c:strCache>
                <c:ptCount val="1"/>
                <c:pt idx="0">
                  <c:v>Arbeidskapital som andel av omsetning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'Historiske finansielle tall'!$C$68:$I$68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'Historiske finansielle tall'!$C$69:$I$69</c:f>
              <c:numCache>
                <c:formatCode>0.0\ %</c:formatCode>
                <c:ptCount val="7"/>
                <c:pt idx="0">
                  <c:v>0.21113689095127613</c:v>
                </c:pt>
                <c:pt idx="1">
                  <c:v>0.19134936900010788</c:v>
                </c:pt>
                <c:pt idx="2">
                  <c:v>0.20134040770734435</c:v>
                </c:pt>
                <c:pt idx="3">
                  <c:v>0.24601593625498011</c:v>
                </c:pt>
                <c:pt idx="4">
                  <c:v>0.20776397515527956</c:v>
                </c:pt>
                <c:pt idx="5">
                  <c:v>0.19436201780415438</c:v>
                </c:pt>
                <c:pt idx="6">
                  <c:v>0.24939301972685887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D-5E4D-B370-7CF914F83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841263"/>
        <c:axId val="1750783327"/>
      </c:barChart>
      <c:catAx>
        <c:axId val="173984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50783327"/>
        <c:crosses val="autoZero"/>
        <c:auto val="1"/>
        <c:lblAlgn val="ctr"/>
        <c:lblOffset val="100"/>
        <c:noMultiLvlLbl val="0"/>
      </c:catAx>
      <c:valAx>
        <c:axId val="17507833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3984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300" b="1"/>
              <a:t>ROIC-proxy</a:t>
            </a:r>
            <a:r>
              <a:rPr lang="nb-NO" sz="1300" b="1" baseline="0"/>
              <a:t> mot modell-WACC 2020-2025</a:t>
            </a:r>
            <a:endParaRPr lang="nb-NO" sz="13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'Historiske finansielle tall'!$B$83</c:f>
              <c:strCache>
                <c:ptCount val="1"/>
                <c:pt idx="0">
                  <c:v>ROIC- Proxy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'Historiske finansielle tall'!$C$81:$H$82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'Historiske finansielle tall'!$C$83:$H$83</c:f>
              <c:numCache>
                <c:formatCode>0.0\ %</c:formatCode>
                <c:ptCount val="6"/>
                <c:pt idx="0">
                  <c:v>0.12252389006342494</c:v>
                </c:pt>
                <c:pt idx="1">
                  <c:v>0.15176669535283993</c:v>
                </c:pt>
                <c:pt idx="2">
                  <c:v>0.12990801122194515</c:v>
                </c:pt>
                <c:pt idx="3">
                  <c:v>0.11529595679012344</c:v>
                </c:pt>
                <c:pt idx="4">
                  <c:v>0.12433723756906077</c:v>
                </c:pt>
                <c:pt idx="5">
                  <c:v>9.7982222222222221E-2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A-464E-BBE1-9458DC8A2812}"/>
            </c:ext>
          </c:extLst>
        </c:ser>
        <c:ser>
          <c:idx val="1"/>
          <c:order val="1"/>
          <c:tx>
            <c:strRef>
              <c:f>'Historiske finansielle tall'!$B$84</c:f>
              <c:strCache>
                <c:ptCount val="1"/>
                <c:pt idx="0">
                  <c:v>Modell- WACC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'Historiske finansielle tall'!$C$81:$H$82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'Historiske finansielle tall'!$C$84:$H$84</c:f>
              <c:numCache>
                <c:formatCode>0.0\ %</c:formatCode>
                <c:ptCount val="6"/>
                <c:pt idx="0">
                  <c:v>8.3234859677126877E-2</c:v>
                </c:pt>
                <c:pt idx="1">
                  <c:v>8.3199999999999996E-2</c:v>
                </c:pt>
                <c:pt idx="2">
                  <c:v>8.3199999999999996E-2</c:v>
                </c:pt>
                <c:pt idx="3">
                  <c:v>8.3199999999999996E-2</c:v>
                </c:pt>
                <c:pt idx="4">
                  <c:v>8.3199999999999996E-2</c:v>
                </c:pt>
                <c:pt idx="5">
                  <c:v>8.3199999999999996E-2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CA-464E-BBE1-9458DC8A2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698912"/>
        <c:axId val="1169261232"/>
      </c:lineChart>
      <c:catAx>
        <c:axId val="116969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69261232"/>
        <c:crosses val="autoZero"/>
        <c:auto val="1"/>
        <c:lblAlgn val="ctr"/>
        <c:lblOffset val="100"/>
        <c:noMultiLvlLbl val="0"/>
      </c:catAx>
      <c:valAx>
        <c:axId val="116926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6969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717727</xdr:colOff>
      <xdr:row>37</xdr:row>
      <xdr:rowOff>69365</xdr:rowOff>
    </xdr:from>
    <xdr:to>
      <xdr:col>4</xdr:col>
      <xdr:colOff>280725</xdr:colOff>
      <xdr:row>50</xdr:row>
      <xdr:rowOff>170965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479EF3B-10DF-4196-12CF-9F5556060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765325</xdr:colOff>
      <xdr:row>51</xdr:row>
      <xdr:rowOff>84575</xdr:rowOff>
    </xdr:from>
    <xdr:to>
      <xdr:col>4</xdr:col>
      <xdr:colOff>280062</xdr:colOff>
      <xdr:row>65</xdr:row>
      <xdr:rowOff>62628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2C49340-92A6-96BC-B953-43BE3BA07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589139</xdr:colOff>
      <xdr:row>37</xdr:row>
      <xdr:rowOff>42031</xdr:rowOff>
    </xdr:from>
    <xdr:to>
      <xdr:col>10</xdr:col>
      <xdr:colOff>474009</xdr:colOff>
      <xdr:row>51</xdr:row>
      <xdr:rowOff>26037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E6E06B08-182B-CF67-4EAD-80D7711B5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551774</xdr:colOff>
      <xdr:row>51</xdr:row>
      <xdr:rowOff>107139</xdr:rowOff>
    </xdr:from>
    <xdr:to>
      <xdr:col>10</xdr:col>
      <xdr:colOff>487680</xdr:colOff>
      <xdr:row>65</xdr:row>
      <xdr:rowOff>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C882BC9F-A995-C549-F154-02CA11A06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770163</xdr:colOff>
      <xdr:row>80</xdr:row>
      <xdr:rowOff>78318</xdr:rowOff>
    </xdr:from>
    <xdr:to>
      <xdr:col>4</xdr:col>
      <xdr:colOff>121254</xdr:colOff>
      <xdr:row>94</xdr:row>
      <xdr:rowOff>69851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CBD126D7-DB14-6776-80C8-05362AF2F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88</xdr:row>
      <xdr:rowOff>133569</xdr:rowOff>
    </xdr:from>
    <xdr:to>
      <xdr:col>1</xdr:col>
      <xdr:colOff>1312041</xdr:colOff>
      <xdr:row>93</xdr:row>
      <xdr:rowOff>183493</xdr:rowOff>
    </xdr:to>
    <xdr:sp macro="" textlink="">
      <xdr:nvSpPr>
        <xdr:cNvPr id="2" name="Rektangel 1">
          <a:extLst>
            <a:ext uri="{FF2B5EF4-FFF2-40B4-BE49-F238E27FC236}">
              <a16:creationId xmlns:a16="http://schemas.microsoft.com/office/drawing/2014/main" id="{6E89E103-0229-78F8-6667-01ABC560B4EC}"/>
            </a:ext>
          </a:extLst>
        </xdr:cNvPr>
        <xdr:cNvSpPr/>
      </xdr:nvSpPr>
      <xdr:spPr>
        <a:xfrm>
          <a:off x="1320800" y="17418269"/>
          <a:ext cx="816741" cy="10659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b-NO" sz="1100"/>
        </a:p>
      </xdr:txBody>
    </xdr:sp>
    <xdr:clientData/>
  </xdr:twoCellAnchor>
  <xdr:twoCellAnchor>
    <xdr:from>
      <xdr:col>1</xdr:col>
      <xdr:colOff>546100</xdr:colOff>
      <xdr:row>89</xdr:row>
      <xdr:rowOff>11386</xdr:rowOff>
    </xdr:from>
    <xdr:to>
      <xdr:col>1</xdr:col>
      <xdr:colOff>1320801</xdr:colOff>
      <xdr:row>93</xdr:row>
      <xdr:rowOff>88900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A1557EE3-F055-E568-F6C0-23352E68543A}"/>
            </a:ext>
          </a:extLst>
        </xdr:cNvPr>
        <xdr:cNvSpPr txBox="1"/>
      </xdr:nvSpPr>
      <xdr:spPr>
        <a:xfrm>
          <a:off x="1371600" y="17499286"/>
          <a:ext cx="774701" cy="890314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200" b="1">
              <a:solidFill>
                <a:schemeClr val="bg1"/>
              </a:solidFill>
            </a:rPr>
            <a:t>Terminalvekst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397149</xdr:colOff>
      <xdr:row>3</xdr:row>
      <xdr:rowOff>202416</xdr:rowOff>
    </xdr:from>
    <xdr:to>
      <xdr:col>11</xdr:col>
      <xdr:colOff>762000</xdr:colOff>
      <xdr:row>11</xdr:row>
      <xdr:rowOff>55034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D372E767-B171-2019-6DD8-7D222606F57F}"/>
            </a:ext>
          </a:extLst>
        </xdr:cNvPr>
        <xdr:cNvSpPr txBox="1"/>
      </xdr:nvSpPr>
      <xdr:spPr>
        <a:xfrm>
          <a:off x="8817249" y="850116"/>
          <a:ext cx="5648051" cy="1478218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>
              <a:solidFill>
                <a:schemeClr val="tx1"/>
              </a:solidFill>
            </a:rPr>
            <a:t>Envipco er den mest direkte </a:t>
          </a:r>
          <a:r>
            <a:rPr lang="nb-NO" sz="1100" baseline="0">
              <a:solidFill>
                <a:schemeClr val="tx1"/>
              </a:solidFill>
            </a:rPr>
            <a:t> operative</a:t>
          </a:r>
          <a:r>
            <a:rPr lang="nb-NO" sz="1100">
              <a:solidFill>
                <a:schemeClr val="tx1"/>
              </a:solidFill>
            </a:rPr>
            <a:t> sammenligningen med TOMRA Collection, ettersom </a:t>
          </a:r>
          <a:r>
            <a:rPr lang="nb-NO" sz="1100" baseline="0">
              <a:solidFill>
                <a:schemeClr val="tx1"/>
              </a:solidFill>
            </a:rPr>
            <a:t>selskapet er en rendyrket leverandør av reverse vending machines (RVM) og løsninger til pantesystemer. Selskapet er likevel betydelig mindre og befinner seg i en kraftig oppskaleringsfase. MarketScreener-estimatene innebærer at omsetningen mer en dobles i 2027, samtidig som EBIT-marginen øker fra nær null til rundt 20%. Dette gir en ekstrem endring i EV/EBIT fra over 300x i 2026 til rundt 5x i 2027. Envipco inkluderes derfor som en relevant strategisk peer, men ekskluderes fra kjernemedianen fordi de kortsiktige multiplene og estimatene ikke er representative eller direkte sammenlignbare med TOMRA.</a:t>
          </a:r>
          <a:endParaRPr lang="nb-NO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287670</xdr:colOff>
      <xdr:row>39</xdr:row>
      <xdr:rowOff>46369</xdr:rowOff>
    </xdr:from>
    <xdr:to>
      <xdr:col>8</xdr:col>
      <xdr:colOff>272903</xdr:colOff>
      <xdr:row>44</xdr:row>
      <xdr:rowOff>17780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BC8E5C42-725E-3E75-7252-3B830883A77B}"/>
            </a:ext>
          </a:extLst>
        </xdr:cNvPr>
        <xdr:cNvSpPr txBox="1"/>
      </xdr:nvSpPr>
      <xdr:spPr>
        <a:xfrm>
          <a:off x="1113170" y="7894969"/>
          <a:ext cx="9865833" cy="987411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>
              <a:solidFill>
                <a:schemeClr val="tx1"/>
              </a:solidFill>
            </a:rPr>
            <a:t>TOMRA handles til</a:t>
          </a:r>
          <a:r>
            <a:rPr lang="nb-NO" sz="1100" baseline="0">
              <a:solidFill>
                <a:schemeClr val="tx1"/>
              </a:solidFill>
            </a:rPr>
            <a:t> en betydelig premie mot kjernemedianen på både EV/Sales og EV/EBIT. Premien kan delvis forsvares av høyere forventet vekst, sterk markedsposisjon og strukturell eksponering mot pantesystemer og automatisert sortering. På egne 2027-estimater handles TOMRA imidlertid 16,7x EV/EBIT, tilsvarende nær 60% premie mot kjernemedianen. En verdsettelse på peer-medianen indikerer omtrent 56 kr per aksje, mens en moderat kvalitets- og vekstpremie gir rundt 68 kr. DCF-verdien på 87,7 kr tilsvarer rundt 14,5x 2027 EV/EBIT og forutsetter dermed en betydelig, men lavere premie enn dagens verdsettelse.</a:t>
          </a:r>
          <a:endParaRPr lang="nb-NO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241300</xdr:colOff>
      <xdr:row>39</xdr:row>
      <xdr:rowOff>25400</xdr:rowOff>
    </xdr:from>
    <xdr:to>
      <xdr:col>1</xdr:col>
      <xdr:colOff>279400</xdr:colOff>
      <xdr:row>43</xdr:row>
      <xdr:rowOff>177800</xdr:rowOff>
    </xdr:to>
    <xdr:sp macro="" textlink="">
      <xdr:nvSpPr>
        <xdr:cNvPr id="4" name="TekstSylinder 3">
          <a:extLst>
            <a:ext uri="{FF2B5EF4-FFF2-40B4-BE49-F238E27FC236}">
              <a16:creationId xmlns:a16="http://schemas.microsoft.com/office/drawing/2014/main" id="{F82B7EAA-6FF7-2147-E8D7-3FAB6581F858}"/>
            </a:ext>
          </a:extLst>
        </xdr:cNvPr>
        <xdr:cNvSpPr txBox="1"/>
      </xdr:nvSpPr>
      <xdr:spPr>
        <a:xfrm>
          <a:off x="241300" y="7874000"/>
          <a:ext cx="863600" cy="9652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b-NO" sz="1100" b="1">
              <a:solidFill>
                <a:schemeClr val="bg1"/>
              </a:solidFill>
            </a:rPr>
            <a:t>Konklusjon</a:t>
          </a:r>
        </a:p>
      </xdr:txBody>
    </xdr:sp>
    <xdr:clientData/>
  </xdr:twoCellAnchor>
  <xdr:twoCellAnchor>
    <xdr:from>
      <xdr:col>5</xdr:col>
      <xdr:colOff>457200</xdr:colOff>
      <xdr:row>3</xdr:row>
      <xdr:rowOff>190500</xdr:rowOff>
    </xdr:from>
    <xdr:to>
      <xdr:col>6</xdr:col>
      <xdr:colOff>355600</xdr:colOff>
      <xdr:row>11</xdr:row>
      <xdr:rowOff>12700</xdr:rowOff>
    </xdr:to>
    <xdr:sp macro="" textlink="">
      <xdr:nvSpPr>
        <xdr:cNvPr id="5" name="TekstSylinder 4">
          <a:extLst>
            <a:ext uri="{FF2B5EF4-FFF2-40B4-BE49-F238E27FC236}">
              <a16:creationId xmlns:a16="http://schemas.microsoft.com/office/drawing/2014/main" id="{2902EAF7-0E2D-5FBF-6CAD-DC7B702D1D53}"/>
            </a:ext>
          </a:extLst>
        </xdr:cNvPr>
        <xdr:cNvSpPr txBox="1"/>
      </xdr:nvSpPr>
      <xdr:spPr>
        <a:xfrm>
          <a:off x="7874000" y="838200"/>
          <a:ext cx="901700" cy="144780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 b="1">
              <a:solidFill>
                <a:schemeClr val="bg1"/>
              </a:solidFill>
            </a:rPr>
            <a:t>Om</a:t>
          </a:r>
          <a:r>
            <a:rPr lang="nb-NO" sz="1100" b="1" baseline="0">
              <a:solidFill>
                <a:schemeClr val="bg1"/>
              </a:solidFill>
            </a:rPr>
            <a:t> Envipco</a:t>
          </a:r>
          <a:endParaRPr lang="nb-NO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44824</xdr:colOff>
      <xdr:row>28</xdr:row>
      <xdr:rowOff>194235</xdr:rowOff>
    </xdr:from>
    <xdr:to>
      <xdr:col>1</xdr:col>
      <xdr:colOff>1568824</xdr:colOff>
      <xdr:row>30</xdr:row>
      <xdr:rowOff>74706</xdr:rowOff>
    </xdr:to>
    <xdr:sp macro="" textlink="">
      <xdr:nvSpPr>
        <xdr:cNvPr id="6" name="TekstSylinder 5">
          <a:extLst>
            <a:ext uri="{FF2B5EF4-FFF2-40B4-BE49-F238E27FC236}">
              <a16:creationId xmlns:a16="http://schemas.microsoft.com/office/drawing/2014/main" id="{9AE7F702-8C1A-C9A7-0DA6-F3CBB713F54A}"/>
            </a:ext>
          </a:extLst>
        </xdr:cNvPr>
        <xdr:cNvSpPr txBox="1"/>
      </xdr:nvSpPr>
      <xdr:spPr>
        <a:xfrm>
          <a:off x="866589" y="6081059"/>
          <a:ext cx="1524000" cy="2988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pp</a:t>
          </a:r>
          <a:r>
            <a:rPr lang="nb-NO" sz="1100" baseline="0"/>
            <a:t> = prosentpoeng</a:t>
          </a:r>
          <a:endParaRPr lang="nb-NO" sz="1100"/>
        </a:p>
      </xdr:txBody>
    </xdr:sp>
    <xdr:clientData/>
  </xdr:twoCellAnchor>
  <xdr:twoCellAnchor>
    <xdr:from>
      <xdr:col>1</xdr:col>
      <xdr:colOff>1884610</xdr:colOff>
      <xdr:row>29</xdr:row>
      <xdr:rowOff>20333</xdr:rowOff>
    </xdr:from>
    <xdr:to>
      <xdr:col>3</xdr:col>
      <xdr:colOff>401052</xdr:colOff>
      <xdr:row>30</xdr:row>
      <xdr:rowOff>80099</xdr:rowOff>
    </xdr:to>
    <xdr:sp macro="" textlink="">
      <xdr:nvSpPr>
        <xdr:cNvPr id="7" name="TekstSylinder 6">
          <a:extLst>
            <a:ext uri="{FF2B5EF4-FFF2-40B4-BE49-F238E27FC236}">
              <a16:creationId xmlns:a16="http://schemas.microsoft.com/office/drawing/2014/main" id="{4EA70B93-B2F4-9E2F-3FD3-09BC0707E3EF}"/>
            </a:ext>
          </a:extLst>
        </xdr:cNvPr>
        <xdr:cNvSpPr txBox="1"/>
      </xdr:nvSpPr>
      <xdr:spPr>
        <a:xfrm>
          <a:off x="2705813" y="5950183"/>
          <a:ext cx="2431480" cy="26029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>
              <a:solidFill>
                <a:schemeClr val="accent6"/>
              </a:solidFill>
            </a:rPr>
            <a:t>Grønn = bedre</a:t>
          </a:r>
          <a:r>
            <a:rPr lang="nb-NO" sz="1100" baseline="0">
              <a:solidFill>
                <a:schemeClr val="accent6"/>
              </a:solidFill>
            </a:rPr>
            <a:t> vekst/margin eller rabatt</a:t>
          </a:r>
          <a:endParaRPr lang="nb-NO" sz="1100">
            <a:solidFill>
              <a:schemeClr val="accent6"/>
            </a:solidFill>
          </a:endParaRPr>
        </a:p>
      </xdr:txBody>
    </xdr:sp>
    <xdr:clientData/>
  </xdr:twoCellAnchor>
  <xdr:twoCellAnchor>
    <xdr:from>
      <xdr:col>3</xdr:col>
      <xdr:colOff>639773</xdr:colOff>
      <xdr:row>29</xdr:row>
      <xdr:rowOff>9548</xdr:rowOff>
    </xdr:from>
    <xdr:to>
      <xdr:col>5</xdr:col>
      <xdr:colOff>397569</xdr:colOff>
      <xdr:row>30</xdr:row>
      <xdr:rowOff>69314</xdr:rowOff>
    </xdr:to>
    <xdr:sp macro="" textlink="">
      <xdr:nvSpPr>
        <xdr:cNvPr id="8" name="TekstSylinder 7">
          <a:extLst>
            <a:ext uri="{FF2B5EF4-FFF2-40B4-BE49-F238E27FC236}">
              <a16:creationId xmlns:a16="http://schemas.microsoft.com/office/drawing/2014/main" id="{95ED1C45-2B6C-5B4A-8929-0BF702EF7892}"/>
            </a:ext>
          </a:extLst>
        </xdr:cNvPr>
        <xdr:cNvSpPr txBox="1"/>
      </xdr:nvSpPr>
      <xdr:spPr>
        <a:xfrm>
          <a:off x="5376014" y="5939398"/>
          <a:ext cx="2431480" cy="26029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>
              <a:solidFill>
                <a:srgbClr val="C00000"/>
              </a:solidFill>
            </a:rPr>
            <a:t>Rød</a:t>
          </a:r>
          <a:r>
            <a:rPr lang="nb-NO" sz="1100" baseline="0">
              <a:solidFill>
                <a:srgbClr val="C00000"/>
              </a:solidFill>
            </a:rPr>
            <a:t> = høyere verdsettelse (premie)</a:t>
          </a:r>
          <a:endParaRPr lang="nb-NO" sz="1100">
            <a:solidFill>
              <a:srgbClr val="C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C143-A86C-114E-A04A-121F098D92DB}">
  <dimension ref="B2:J108"/>
  <sheetViews>
    <sheetView topLeftCell="H5" zoomScale="106" workbookViewId="0">
      <selection activeCell="G101" sqref="G101"/>
    </sheetView>
  </sheetViews>
  <sheetFormatPr baseColWidth="10" defaultRowHeight="16"/>
  <cols>
    <col min="2" max="2" width="32.83203125" bestFit="1" customWidth="1"/>
    <col min="3" max="3" width="13.83203125" bestFit="1" customWidth="1"/>
    <col min="4" max="4" width="11.1640625" bestFit="1" customWidth="1"/>
    <col min="5" max="5" width="16.5" customWidth="1"/>
    <col min="6" max="7" width="11.1640625" bestFit="1" customWidth="1"/>
    <col min="8" max="8" width="12.1640625" bestFit="1" customWidth="1"/>
  </cols>
  <sheetData>
    <row r="2" spans="2:10" ht="22">
      <c r="B2" s="223" t="s">
        <v>202</v>
      </c>
    </row>
    <row r="4" spans="2:10">
      <c r="B4" t="s">
        <v>83</v>
      </c>
      <c r="C4">
        <v>104.8</v>
      </c>
    </row>
    <row r="5" spans="2:10">
      <c r="B5" t="s">
        <v>84</v>
      </c>
      <c r="C5">
        <v>296040156</v>
      </c>
    </row>
    <row r="6" spans="2:10">
      <c r="B6" t="s">
        <v>85</v>
      </c>
      <c r="C6">
        <f>C4*C5</f>
        <v>31025008348.799999</v>
      </c>
    </row>
    <row r="8" spans="2:10" ht="17" thickBot="1"/>
    <row r="9" spans="2:10" ht="17" thickBot="1">
      <c r="B9" s="189" t="s">
        <v>9</v>
      </c>
      <c r="C9" s="187">
        <v>2018</v>
      </c>
      <c r="D9" s="187">
        <v>2019</v>
      </c>
      <c r="E9" s="187">
        <v>2020</v>
      </c>
      <c r="F9" s="187">
        <v>2021</v>
      </c>
      <c r="G9" s="187">
        <v>2022</v>
      </c>
      <c r="H9" s="187">
        <v>2023</v>
      </c>
      <c r="I9" s="187">
        <v>2024</v>
      </c>
      <c r="J9" s="188">
        <v>2025</v>
      </c>
    </row>
    <row r="10" spans="2:10">
      <c r="B10" s="41" t="s">
        <v>0</v>
      </c>
      <c r="C10">
        <v>895.4</v>
      </c>
      <c r="D10">
        <v>948.2</v>
      </c>
      <c r="E10">
        <v>927.1</v>
      </c>
      <c r="F10">
        <v>1074.3</v>
      </c>
      <c r="G10">
        <v>1204.8</v>
      </c>
      <c r="H10">
        <v>1288</v>
      </c>
      <c r="I10">
        <v>1348</v>
      </c>
      <c r="J10" s="37">
        <v>1318</v>
      </c>
    </row>
    <row r="11" spans="2:10">
      <c r="B11" s="41" t="s">
        <v>1</v>
      </c>
      <c r="C11">
        <v>130.5</v>
      </c>
      <c r="D11">
        <v>140</v>
      </c>
      <c r="E11">
        <v>141.9</v>
      </c>
      <c r="F11">
        <v>174.3</v>
      </c>
      <c r="G11">
        <v>160.4</v>
      </c>
      <c r="H11">
        <v>119</v>
      </c>
      <c r="I11">
        <v>176</v>
      </c>
      <c r="J11" s="37">
        <v>174</v>
      </c>
    </row>
    <row r="12" spans="2:10">
      <c r="B12" s="41" t="s">
        <v>2</v>
      </c>
      <c r="C12">
        <v>112.3</v>
      </c>
      <c r="D12">
        <v>119.2</v>
      </c>
      <c r="E12">
        <v>121.2</v>
      </c>
      <c r="F12">
        <v>153</v>
      </c>
      <c r="G12">
        <v>143</v>
      </c>
      <c r="H12">
        <v>101</v>
      </c>
      <c r="I12">
        <v>156</v>
      </c>
      <c r="J12" s="37">
        <v>148</v>
      </c>
    </row>
    <row r="13" spans="2:10">
      <c r="B13" s="41" t="s">
        <v>3</v>
      </c>
      <c r="C13">
        <v>107.6</v>
      </c>
      <c r="D13">
        <v>114.4</v>
      </c>
      <c r="E13" s="8" t="s">
        <v>23</v>
      </c>
      <c r="F13">
        <v>150.19999999999999</v>
      </c>
      <c r="G13">
        <v>138.19999999999999</v>
      </c>
      <c r="H13">
        <v>85</v>
      </c>
      <c r="I13">
        <v>131</v>
      </c>
      <c r="J13" s="37">
        <v>130</v>
      </c>
    </row>
    <row r="14" spans="2:10">
      <c r="B14" s="41" t="s">
        <v>8</v>
      </c>
      <c r="C14">
        <v>106.8</v>
      </c>
      <c r="D14">
        <v>133.30000000000001</v>
      </c>
      <c r="E14">
        <v>159.5</v>
      </c>
      <c r="F14">
        <v>175</v>
      </c>
      <c r="G14">
        <v>114</v>
      </c>
      <c r="H14">
        <v>136.80000000000001</v>
      </c>
      <c r="I14">
        <v>235.5</v>
      </c>
      <c r="J14" s="37">
        <v>170.9</v>
      </c>
    </row>
    <row r="15" spans="2:10">
      <c r="B15" s="41" t="s">
        <v>6</v>
      </c>
      <c r="C15">
        <v>76.900000000000006</v>
      </c>
      <c r="D15">
        <v>64.599999999999994</v>
      </c>
      <c r="E15">
        <v>56.9</v>
      </c>
      <c r="F15">
        <v>58.3</v>
      </c>
      <c r="G15">
        <v>82.3</v>
      </c>
      <c r="H15">
        <v>92.9</v>
      </c>
      <c r="I15">
        <v>118.3</v>
      </c>
      <c r="J15" s="37">
        <v>131.5</v>
      </c>
    </row>
    <row r="16" spans="2:10" ht="17" thickBot="1">
      <c r="B16" s="54" t="s">
        <v>7</v>
      </c>
      <c r="C16" s="5">
        <f t="shared" ref="C16:E16" si="0">C14-C15</f>
        <v>29.899999999999991</v>
      </c>
      <c r="D16" s="5">
        <f t="shared" si="0"/>
        <v>68.700000000000017</v>
      </c>
      <c r="E16" s="5">
        <f t="shared" si="0"/>
        <v>102.6</v>
      </c>
      <c r="F16" s="5">
        <f>F14-F15</f>
        <v>116.7</v>
      </c>
      <c r="G16" s="5">
        <f t="shared" ref="G16:J16" si="1">G14-G15</f>
        <v>31.700000000000003</v>
      </c>
      <c r="H16" s="5">
        <f t="shared" si="1"/>
        <v>43.900000000000006</v>
      </c>
      <c r="I16" s="5">
        <f t="shared" si="1"/>
        <v>117.2</v>
      </c>
      <c r="J16" s="181">
        <f t="shared" si="1"/>
        <v>39.400000000000006</v>
      </c>
    </row>
    <row r="17" spans="2:10" ht="17" thickBot="1">
      <c r="B17" s="185" t="s">
        <v>10</v>
      </c>
      <c r="C17" s="182">
        <f>C16/C11</f>
        <v>0.2291187739463601</v>
      </c>
      <c r="D17" s="182">
        <f t="shared" ref="D17:J17" si="2">D16/D11</f>
        <v>0.49071428571428582</v>
      </c>
      <c r="E17" s="182">
        <f t="shared" si="2"/>
        <v>0.72304439746300209</v>
      </c>
      <c r="F17" s="182">
        <f t="shared" si="2"/>
        <v>0.66953528399311524</v>
      </c>
      <c r="G17" s="182">
        <f t="shared" si="2"/>
        <v>0.19763092269326685</v>
      </c>
      <c r="H17" s="182">
        <f t="shared" si="2"/>
        <v>0.36890756302521011</v>
      </c>
      <c r="I17" s="182">
        <f t="shared" si="2"/>
        <v>0.66590909090909089</v>
      </c>
      <c r="J17" s="183">
        <f t="shared" si="2"/>
        <v>0.22643678160919545</v>
      </c>
    </row>
    <row r="18" spans="2:10" ht="17" thickBot="1">
      <c r="B18" s="4"/>
    </row>
    <row r="19" spans="2:10">
      <c r="B19" s="20" t="s">
        <v>4</v>
      </c>
      <c r="C19" s="197" t="s">
        <v>24</v>
      </c>
      <c r="D19" s="197" t="s">
        <v>24</v>
      </c>
      <c r="E19" s="48">
        <v>0.19</v>
      </c>
      <c r="F19" s="49">
        <v>0.22900000000000001</v>
      </c>
      <c r="G19" s="49">
        <v>0.193</v>
      </c>
      <c r="H19" s="49">
        <v>0.17299999999999999</v>
      </c>
      <c r="I19" s="49">
        <v>0.184</v>
      </c>
      <c r="J19" s="50">
        <v>0.152</v>
      </c>
    </row>
    <row r="20" spans="2:10" ht="17" thickBot="1">
      <c r="B20" s="38" t="s">
        <v>5</v>
      </c>
      <c r="C20" s="65">
        <v>0.153</v>
      </c>
      <c r="D20" s="65">
        <v>0.16200000000000001</v>
      </c>
      <c r="E20" s="65">
        <v>0.14799999999999999</v>
      </c>
      <c r="F20" s="65">
        <v>0.193</v>
      </c>
      <c r="G20" s="65">
        <v>0.16800000000000001</v>
      </c>
      <c r="H20" s="65">
        <v>9.9000000000000005E-2</v>
      </c>
      <c r="I20" s="65">
        <v>0.157</v>
      </c>
      <c r="J20" s="53">
        <v>0.157</v>
      </c>
    </row>
    <row r="22" spans="2:10" ht="17" thickBot="1"/>
    <row r="23" spans="2:10">
      <c r="B23" s="20" t="s">
        <v>13</v>
      </c>
      <c r="C23" s="44">
        <f t="shared" ref="C23:J23" si="3">C10</f>
        <v>895.4</v>
      </c>
      <c r="D23" s="44">
        <f t="shared" si="3"/>
        <v>948.2</v>
      </c>
      <c r="E23" s="44">
        <f t="shared" si="3"/>
        <v>927.1</v>
      </c>
      <c r="F23" s="44">
        <f t="shared" si="3"/>
        <v>1074.3</v>
      </c>
      <c r="G23" s="44">
        <f t="shared" si="3"/>
        <v>1204.8</v>
      </c>
      <c r="H23" s="44">
        <f t="shared" si="3"/>
        <v>1288</v>
      </c>
      <c r="I23" s="44">
        <f t="shared" si="3"/>
        <v>1348</v>
      </c>
      <c r="J23" s="45">
        <f t="shared" si="3"/>
        <v>1318</v>
      </c>
    </row>
    <row r="24" spans="2:10">
      <c r="B24" s="23" t="s">
        <v>14</v>
      </c>
      <c r="C24">
        <v>511.8</v>
      </c>
      <c r="D24">
        <v>533.70000000000005</v>
      </c>
      <c r="E24">
        <v>519.9</v>
      </c>
      <c r="F24">
        <v>602.70000000000005</v>
      </c>
      <c r="G24">
        <v>705.5</v>
      </c>
      <c r="H24">
        <v>739.7</v>
      </c>
      <c r="I24">
        <v>764</v>
      </c>
      <c r="J24" s="37">
        <v>733</v>
      </c>
    </row>
    <row r="25" spans="2:10">
      <c r="B25" s="27" t="s">
        <v>15</v>
      </c>
      <c r="C25">
        <f>C23-C24</f>
        <v>383.59999999999997</v>
      </c>
      <c r="D25">
        <f t="shared" ref="D25:J25" si="4">D23-D24</f>
        <v>414.5</v>
      </c>
      <c r="E25">
        <f t="shared" si="4"/>
        <v>407.20000000000005</v>
      </c>
      <c r="F25">
        <f t="shared" si="4"/>
        <v>471.59999999999991</v>
      </c>
      <c r="G25">
        <f t="shared" si="4"/>
        <v>499.29999999999995</v>
      </c>
      <c r="H25">
        <f t="shared" si="4"/>
        <v>548.29999999999995</v>
      </c>
      <c r="I25">
        <f t="shared" si="4"/>
        <v>584</v>
      </c>
      <c r="J25" s="37">
        <f t="shared" si="4"/>
        <v>585</v>
      </c>
    </row>
    <row r="26" spans="2:10" ht="17" thickBot="1">
      <c r="B26" s="38" t="s">
        <v>16</v>
      </c>
      <c r="C26" s="193">
        <f>C25/C23</f>
        <v>0.42841188295733745</v>
      </c>
      <c r="D26" s="193">
        <f t="shared" ref="D26:J26" si="5">D25/D23</f>
        <v>0.4371440624340856</v>
      </c>
      <c r="E26" s="193">
        <f t="shared" si="5"/>
        <v>0.43921907021896239</v>
      </c>
      <c r="F26" s="193">
        <f t="shared" si="5"/>
        <v>0.43898352415526382</v>
      </c>
      <c r="G26" s="193">
        <f t="shared" si="5"/>
        <v>0.41442563081009293</v>
      </c>
      <c r="H26" s="193">
        <f t="shared" si="5"/>
        <v>0.42569875776397514</v>
      </c>
      <c r="I26" s="193">
        <f t="shared" si="5"/>
        <v>0.43323442136498519</v>
      </c>
      <c r="J26" s="194">
        <f t="shared" si="5"/>
        <v>0.44385432473444614</v>
      </c>
    </row>
    <row r="28" spans="2:10" ht="17" thickBot="1"/>
    <row r="29" spans="2:10">
      <c r="B29" s="43" t="s">
        <v>17</v>
      </c>
      <c r="C29" s="44">
        <v>145.5</v>
      </c>
      <c r="D29" s="44">
        <v>161.80000000000001</v>
      </c>
      <c r="E29" s="44">
        <v>142.5</v>
      </c>
      <c r="F29" s="44">
        <v>188.6</v>
      </c>
      <c r="G29" s="44">
        <v>225.4</v>
      </c>
      <c r="H29" s="44">
        <v>237.4</v>
      </c>
      <c r="I29" s="44">
        <v>225.5</v>
      </c>
      <c r="J29" s="45">
        <v>254.6</v>
      </c>
    </row>
    <row r="30" spans="2:10">
      <c r="B30" s="23" t="s">
        <v>18</v>
      </c>
      <c r="C30">
        <v>191.6</v>
      </c>
      <c r="D30">
        <v>203</v>
      </c>
      <c r="E30">
        <v>221.7</v>
      </c>
      <c r="F30">
        <v>267.39999999999998</v>
      </c>
      <c r="G30">
        <v>327.8</v>
      </c>
      <c r="H30">
        <v>361.1</v>
      </c>
      <c r="I30">
        <v>373.7</v>
      </c>
      <c r="J30" s="37">
        <v>400.6</v>
      </c>
    </row>
    <row r="31" spans="2:10">
      <c r="B31" s="23" t="s">
        <v>19</v>
      </c>
      <c r="C31">
        <v>41</v>
      </c>
      <c r="D31">
        <v>29</v>
      </c>
      <c r="E31">
        <v>2.6</v>
      </c>
      <c r="F31">
        <v>3.8</v>
      </c>
      <c r="G31">
        <v>10.8</v>
      </c>
      <c r="H31">
        <v>9.6999999999999993</v>
      </c>
      <c r="I31">
        <v>19.600000000000001</v>
      </c>
      <c r="J31" s="37">
        <v>16.5</v>
      </c>
    </row>
    <row r="32" spans="2:10">
      <c r="B32" s="23" t="s">
        <v>20</v>
      </c>
      <c r="C32">
        <v>59.2</v>
      </c>
      <c r="D32">
        <v>49.9</v>
      </c>
      <c r="E32">
        <v>46.5</v>
      </c>
      <c r="F32">
        <v>57.8</v>
      </c>
      <c r="G32">
        <v>77.900000000000006</v>
      </c>
      <c r="H32">
        <v>64.8</v>
      </c>
      <c r="I32">
        <v>89.4</v>
      </c>
      <c r="J32" s="37">
        <v>83.2</v>
      </c>
    </row>
    <row r="33" spans="2:10">
      <c r="B33" s="23" t="s">
        <v>26</v>
      </c>
      <c r="C33">
        <v>63.2</v>
      </c>
      <c r="D33">
        <v>50.9</v>
      </c>
      <c r="E33">
        <v>52.8</v>
      </c>
      <c r="F33">
        <v>64.5</v>
      </c>
      <c r="G33">
        <v>62.5</v>
      </c>
      <c r="H33">
        <v>73.5</v>
      </c>
      <c r="I33">
        <v>61.4</v>
      </c>
      <c r="J33" s="37">
        <v>75</v>
      </c>
    </row>
    <row r="34" spans="2:10">
      <c r="B34" s="23" t="s">
        <v>21</v>
      </c>
      <c r="C34">
        <v>96.5</v>
      </c>
      <c r="D34">
        <v>92.8</v>
      </c>
      <c r="E34">
        <v>90.1</v>
      </c>
      <c r="F34">
        <v>121.2</v>
      </c>
      <c r="G34">
        <v>127.2</v>
      </c>
      <c r="H34">
        <v>202.3</v>
      </c>
      <c r="I34">
        <v>206</v>
      </c>
      <c r="J34" s="37">
        <v>184.8</v>
      </c>
    </row>
    <row r="35" spans="2:10">
      <c r="B35" s="23" t="s">
        <v>25</v>
      </c>
      <c r="C35">
        <f>C29+C30+C31-C32-C33-C34</f>
        <v>159.20000000000005</v>
      </c>
      <c r="D35">
        <f t="shared" ref="D35:J35" si="6">D29+D30+D31-D32-D33-D34</f>
        <v>200.20000000000005</v>
      </c>
      <c r="E35">
        <f t="shared" si="6"/>
        <v>177.4</v>
      </c>
      <c r="F35">
        <f t="shared" si="6"/>
        <v>216.3</v>
      </c>
      <c r="G35">
        <f t="shared" si="6"/>
        <v>296.40000000000003</v>
      </c>
      <c r="H35">
        <f t="shared" si="6"/>
        <v>267.60000000000008</v>
      </c>
      <c r="I35">
        <f t="shared" si="6"/>
        <v>262.00000000000011</v>
      </c>
      <c r="J35" s="37">
        <f t="shared" si="6"/>
        <v>328.7</v>
      </c>
    </row>
    <row r="36" spans="2:10" ht="17" thickBot="1">
      <c r="B36" s="28" t="s">
        <v>22</v>
      </c>
      <c r="C36" s="29">
        <f>C35/C23</f>
        <v>0.17779763234308693</v>
      </c>
      <c r="D36" s="29">
        <f t="shared" ref="D36:J36" si="7">D35/D23</f>
        <v>0.21113689095127613</v>
      </c>
      <c r="E36" s="29">
        <f t="shared" si="7"/>
        <v>0.19134936900010788</v>
      </c>
      <c r="F36" s="29">
        <f t="shared" si="7"/>
        <v>0.20134040770734435</v>
      </c>
      <c r="G36" s="29">
        <f t="shared" si="7"/>
        <v>0.24601593625498011</v>
      </c>
      <c r="H36" s="29">
        <f t="shared" si="7"/>
        <v>0.20776397515527956</v>
      </c>
      <c r="I36" s="29">
        <f t="shared" si="7"/>
        <v>0.19436201780415438</v>
      </c>
      <c r="J36" s="139">
        <f t="shared" si="7"/>
        <v>0.24939301972685887</v>
      </c>
    </row>
    <row r="39" spans="2:10">
      <c r="B39" s="195"/>
      <c r="C39" s="195">
        <f t="shared" ref="C39:I39" si="8">D9</f>
        <v>2019</v>
      </c>
      <c r="D39" s="195">
        <f t="shared" si="8"/>
        <v>2020</v>
      </c>
      <c r="E39" s="195">
        <f t="shared" si="8"/>
        <v>2021</v>
      </c>
      <c r="F39" s="195">
        <f t="shared" si="8"/>
        <v>2022</v>
      </c>
      <c r="G39" s="195">
        <f t="shared" si="8"/>
        <v>2023</v>
      </c>
      <c r="H39" s="195">
        <f t="shared" si="8"/>
        <v>2024</v>
      </c>
      <c r="I39" s="195">
        <f t="shared" si="8"/>
        <v>2025</v>
      </c>
    </row>
    <row r="40" spans="2:10">
      <c r="B40" s="195" t="s">
        <v>27</v>
      </c>
      <c r="C40" s="195">
        <f t="shared" ref="C40:I40" si="9">D23</f>
        <v>948.2</v>
      </c>
      <c r="D40" s="195">
        <f t="shared" si="9"/>
        <v>927.1</v>
      </c>
      <c r="E40" s="195">
        <f t="shared" si="9"/>
        <v>1074.3</v>
      </c>
      <c r="F40" s="195">
        <f t="shared" si="9"/>
        <v>1204.8</v>
      </c>
      <c r="G40" s="195">
        <f t="shared" si="9"/>
        <v>1288</v>
      </c>
      <c r="H40" s="195">
        <f t="shared" si="9"/>
        <v>1348</v>
      </c>
      <c r="I40" s="195">
        <f t="shared" si="9"/>
        <v>1318</v>
      </c>
    </row>
    <row r="41" spans="2:10">
      <c r="B41" s="195" t="s">
        <v>11</v>
      </c>
      <c r="C41" s="196">
        <f t="shared" ref="C41:I41" si="10">D26</f>
        <v>0.4371440624340856</v>
      </c>
      <c r="D41" s="196">
        <f t="shared" si="10"/>
        <v>0.43921907021896239</v>
      </c>
      <c r="E41" s="196">
        <f t="shared" si="10"/>
        <v>0.43898352415526382</v>
      </c>
      <c r="F41" s="196">
        <f t="shared" si="10"/>
        <v>0.41442563081009293</v>
      </c>
      <c r="G41" s="196">
        <f t="shared" si="10"/>
        <v>0.42569875776397514</v>
      </c>
      <c r="H41" s="196">
        <f t="shared" si="10"/>
        <v>0.43323442136498519</v>
      </c>
      <c r="I41" s="196">
        <f t="shared" si="10"/>
        <v>0.44385432473444614</v>
      </c>
    </row>
    <row r="53" spans="2:9">
      <c r="B53" s="195"/>
      <c r="C53" s="195">
        <v>2019</v>
      </c>
      <c r="D53" s="195">
        <v>2020</v>
      </c>
      <c r="E53" s="195">
        <v>2021</v>
      </c>
      <c r="F53" s="195">
        <v>2022</v>
      </c>
      <c r="G53" s="195">
        <v>2023</v>
      </c>
      <c r="H53" s="195">
        <v>2024</v>
      </c>
      <c r="I53" s="195">
        <v>2025</v>
      </c>
    </row>
    <row r="54" spans="2:9">
      <c r="B54" s="195" t="s">
        <v>32</v>
      </c>
      <c r="C54" s="195">
        <f>D11</f>
        <v>140</v>
      </c>
      <c r="D54" s="195">
        <f t="shared" ref="D54:I54" si="11">E11</f>
        <v>141.9</v>
      </c>
      <c r="E54" s="195">
        <f t="shared" si="11"/>
        <v>174.3</v>
      </c>
      <c r="F54" s="195">
        <f t="shared" si="11"/>
        <v>160.4</v>
      </c>
      <c r="G54" s="195">
        <f t="shared" si="11"/>
        <v>119</v>
      </c>
      <c r="H54" s="195">
        <f t="shared" si="11"/>
        <v>176</v>
      </c>
      <c r="I54" s="195">
        <f t="shared" si="11"/>
        <v>174</v>
      </c>
    </row>
    <row r="55" spans="2:9">
      <c r="B55" s="195" t="s">
        <v>44</v>
      </c>
      <c r="C55" s="198">
        <f>D11/D10</f>
        <v>0.14764817549040285</v>
      </c>
      <c r="D55" s="198">
        <f t="shared" ref="D55:I55" si="12">E11/E10</f>
        <v>0.15305792255420128</v>
      </c>
      <c r="E55" s="198">
        <f t="shared" si="12"/>
        <v>0.16224518290980175</v>
      </c>
      <c r="F55" s="198">
        <f t="shared" si="12"/>
        <v>0.13313413014608236</v>
      </c>
      <c r="G55" s="198">
        <f t="shared" si="12"/>
        <v>9.2391304347826081E-2</v>
      </c>
      <c r="H55" s="198">
        <f t="shared" si="12"/>
        <v>0.13056379821958458</v>
      </c>
      <c r="I55" s="198">
        <f t="shared" si="12"/>
        <v>0.13201820940819423</v>
      </c>
    </row>
    <row r="67" spans="2:9">
      <c r="B67" s="4" t="s">
        <v>201</v>
      </c>
    </row>
    <row r="68" spans="2:9">
      <c r="B68" s="195"/>
      <c r="C68" s="195">
        <v>2019</v>
      </c>
      <c r="D68" s="195">
        <v>2020</v>
      </c>
      <c r="E68" s="195">
        <v>2021</v>
      </c>
      <c r="F68" s="195">
        <v>2022</v>
      </c>
      <c r="G68" s="195">
        <v>2023</v>
      </c>
      <c r="H68" s="195">
        <v>2024</v>
      </c>
      <c r="I68" s="195">
        <v>2025</v>
      </c>
    </row>
    <row r="69" spans="2:9">
      <c r="B69" s="195" t="s">
        <v>203</v>
      </c>
      <c r="C69" s="196">
        <f>D36</f>
        <v>0.21113689095127613</v>
      </c>
      <c r="D69" s="196">
        <f t="shared" ref="D69:I69" si="13">E36</f>
        <v>0.19134936900010788</v>
      </c>
      <c r="E69" s="196">
        <f t="shared" si="13"/>
        <v>0.20134040770734435</v>
      </c>
      <c r="F69" s="196">
        <f t="shared" si="13"/>
        <v>0.24601593625498011</v>
      </c>
      <c r="G69" s="196">
        <f t="shared" si="13"/>
        <v>0.20776397515527956</v>
      </c>
      <c r="H69" s="196">
        <f t="shared" si="13"/>
        <v>0.19436201780415438</v>
      </c>
      <c r="I69" s="196">
        <f t="shared" si="13"/>
        <v>0.24939301972685887</v>
      </c>
    </row>
    <row r="70" spans="2:9">
      <c r="C70" s="9"/>
    </row>
    <row r="71" spans="2:9">
      <c r="B71" t="s">
        <v>229</v>
      </c>
      <c r="C71">
        <v>2020</v>
      </c>
      <c r="D71">
        <v>2021</v>
      </c>
      <c r="E71">
        <v>2022</v>
      </c>
      <c r="F71">
        <v>2023</v>
      </c>
      <c r="G71">
        <v>2024</v>
      </c>
      <c r="H71">
        <v>2025</v>
      </c>
    </row>
    <row r="72" spans="2:9">
      <c r="B72" t="s">
        <v>230</v>
      </c>
      <c r="C72">
        <f>E11</f>
        <v>141.9</v>
      </c>
      <c r="D72">
        <f t="shared" ref="D72:E72" si="14">F11</f>
        <v>174.3</v>
      </c>
      <c r="E72">
        <f t="shared" si="14"/>
        <v>160.4</v>
      </c>
      <c r="F72">
        <v>162</v>
      </c>
      <c r="G72">
        <v>181</v>
      </c>
      <c r="H72">
        <v>171</v>
      </c>
    </row>
    <row r="73" spans="2:9">
      <c r="B73" t="s">
        <v>231</v>
      </c>
      <c r="C73" s="1">
        <f>E19</f>
        <v>0.19</v>
      </c>
      <c r="D73" s="1">
        <f t="shared" ref="D73:H73" si="15">F19</f>
        <v>0.22900000000000001</v>
      </c>
      <c r="E73" s="1">
        <f t="shared" si="15"/>
        <v>0.193</v>
      </c>
      <c r="F73" s="1">
        <f t="shared" si="15"/>
        <v>0.17299999999999999</v>
      </c>
      <c r="G73" s="1">
        <f t="shared" si="15"/>
        <v>0.184</v>
      </c>
      <c r="H73" s="1">
        <f t="shared" si="15"/>
        <v>0.152</v>
      </c>
    </row>
    <row r="74" spans="2:9">
      <c r="B74" t="s">
        <v>232</v>
      </c>
      <c r="C74">
        <f>E12</f>
        <v>121.2</v>
      </c>
      <c r="D74">
        <f t="shared" ref="D74:E74" si="16">F12</f>
        <v>153</v>
      </c>
      <c r="E74">
        <f t="shared" si="16"/>
        <v>143</v>
      </c>
      <c r="F74">
        <v>143</v>
      </c>
      <c r="G74">
        <v>162</v>
      </c>
      <c r="H74">
        <v>146</v>
      </c>
    </row>
    <row r="75" spans="2:9">
      <c r="B75" t="s">
        <v>52</v>
      </c>
      <c r="C75" s="1">
        <v>0.245</v>
      </c>
      <c r="D75" s="1">
        <v>0.245</v>
      </c>
      <c r="E75" s="1">
        <v>0.245</v>
      </c>
      <c r="F75" s="1">
        <v>0.245</v>
      </c>
      <c r="G75" s="1">
        <v>0.245</v>
      </c>
      <c r="H75" s="1">
        <v>0.245</v>
      </c>
    </row>
    <row r="76" spans="2:9">
      <c r="B76" t="s">
        <v>53</v>
      </c>
      <c r="C76" s="15">
        <f>C74*(1-C75)</f>
        <v>91.506</v>
      </c>
      <c r="D76" s="15">
        <f t="shared" ref="D76:H76" si="17">D74*(1-D75)</f>
        <v>115.515</v>
      </c>
      <c r="E76" s="15">
        <f t="shared" si="17"/>
        <v>107.965</v>
      </c>
      <c r="F76" s="15">
        <f>F74*(1-F75)</f>
        <v>107.965</v>
      </c>
      <c r="G76">
        <f t="shared" si="17"/>
        <v>122.31</v>
      </c>
      <c r="H76">
        <f t="shared" si="17"/>
        <v>110.23</v>
      </c>
    </row>
    <row r="77" spans="2:9">
      <c r="B77" t="s">
        <v>233</v>
      </c>
      <c r="C77" s="15">
        <f>C72/C73</f>
        <v>746.84210526315792</v>
      </c>
      <c r="D77" s="15">
        <f t="shared" ref="D77:H77" si="18">D72/D73</f>
        <v>761.13537117903934</v>
      </c>
      <c r="E77" s="15">
        <f>E72/E73</f>
        <v>831.08808290155446</v>
      </c>
      <c r="F77" s="15">
        <f t="shared" si="18"/>
        <v>936.41618497109835</v>
      </c>
      <c r="G77" s="15">
        <f t="shared" si="18"/>
        <v>983.695652173913</v>
      </c>
      <c r="H77" s="15">
        <f t="shared" si="18"/>
        <v>1125</v>
      </c>
    </row>
    <row r="78" spans="2:9">
      <c r="B78" t="s">
        <v>234</v>
      </c>
      <c r="C78" s="2">
        <f>C76/C77</f>
        <v>0.12252389006342494</v>
      </c>
      <c r="D78" s="2">
        <f t="shared" ref="D78:H78" si="19">D76/D77</f>
        <v>0.15176669535283993</v>
      </c>
      <c r="E78" s="2">
        <f t="shared" si="19"/>
        <v>0.12990801122194515</v>
      </c>
      <c r="F78" s="2">
        <f>F76/F77</f>
        <v>0.11529595679012344</v>
      </c>
      <c r="G78" s="2">
        <f t="shared" si="19"/>
        <v>0.12433723756906077</v>
      </c>
      <c r="H78" s="2">
        <f t="shared" si="19"/>
        <v>9.7982222222222221E-2</v>
      </c>
    </row>
    <row r="79" spans="2:9">
      <c r="B79" t="s">
        <v>235</v>
      </c>
      <c r="C79" s="1">
        <f>WACC!C32</f>
        <v>8.3234859677126877E-2</v>
      </c>
      <c r="D79" s="1">
        <v>8.3199999999999996E-2</v>
      </c>
      <c r="E79" s="1">
        <v>8.3199999999999996E-2</v>
      </c>
      <c r="F79" s="1">
        <v>8.3199999999999996E-2</v>
      </c>
      <c r="G79" s="1">
        <v>8.3199999999999996E-2</v>
      </c>
      <c r="H79" s="1">
        <v>8.3199999999999996E-2</v>
      </c>
    </row>
    <row r="80" spans="2:9">
      <c r="B80" t="s">
        <v>236</v>
      </c>
      <c r="C80" s="123">
        <f>(C78-C79)*100000</f>
        <v>3928.9030386298064</v>
      </c>
      <c r="D80" s="123">
        <f t="shared" ref="D80:H80" si="20">(D78-D79)*100000</f>
        <v>6856.6695352839934</v>
      </c>
      <c r="E80" s="123">
        <f t="shared" si="20"/>
        <v>4670.8011221945153</v>
      </c>
      <c r="F80" s="123">
        <f t="shared" si="20"/>
        <v>3209.5956790123446</v>
      </c>
      <c r="G80" s="123">
        <f t="shared" si="20"/>
        <v>4113.7237569060781</v>
      </c>
      <c r="H80" s="123">
        <f t="shared" si="20"/>
        <v>1478.2222222222224</v>
      </c>
    </row>
    <row r="82" spans="2:8">
      <c r="B82" s="195"/>
      <c r="C82" s="195">
        <f>C71</f>
        <v>2020</v>
      </c>
      <c r="D82" s="195">
        <f t="shared" ref="D82:H82" si="21">D71</f>
        <v>2021</v>
      </c>
      <c r="E82" s="195">
        <f t="shared" si="21"/>
        <v>2022</v>
      </c>
      <c r="F82" s="195">
        <f t="shared" si="21"/>
        <v>2023</v>
      </c>
      <c r="G82" s="195">
        <f t="shared" si="21"/>
        <v>2024</v>
      </c>
      <c r="H82" s="195">
        <f t="shared" si="21"/>
        <v>2025</v>
      </c>
    </row>
    <row r="83" spans="2:8">
      <c r="B83" s="195" t="str">
        <f>B78</f>
        <v>ROIC- Proxy</v>
      </c>
      <c r="C83" s="229">
        <f t="shared" ref="C83:H83" si="22">C78</f>
        <v>0.12252389006342494</v>
      </c>
      <c r="D83" s="229">
        <f t="shared" si="22"/>
        <v>0.15176669535283993</v>
      </c>
      <c r="E83" s="229">
        <f t="shared" si="22"/>
        <v>0.12990801122194515</v>
      </c>
      <c r="F83" s="229">
        <f t="shared" si="22"/>
        <v>0.11529595679012344</v>
      </c>
      <c r="G83" s="229">
        <f t="shared" si="22"/>
        <v>0.12433723756906077</v>
      </c>
      <c r="H83" s="229">
        <f t="shared" si="22"/>
        <v>9.7982222222222221E-2</v>
      </c>
    </row>
    <row r="84" spans="2:8">
      <c r="B84" s="195" t="str">
        <f>B79</f>
        <v>Modell- WACC</v>
      </c>
      <c r="C84" s="229">
        <f t="shared" ref="C84:H84" si="23">C79</f>
        <v>8.3234859677126877E-2</v>
      </c>
      <c r="D84" s="229">
        <f t="shared" si="23"/>
        <v>8.3199999999999996E-2</v>
      </c>
      <c r="E84" s="229">
        <f t="shared" si="23"/>
        <v>8.3199999999999996E-2</v>
      </c>
      <c r="F84" s="229">
        <f t="shared" si="23"/>
        <v>8.3199999999999996E-2</v>
      </c>
      <c r="G84" s="229">
        <f t="shared" si="23"/>
        <v>8.3199999999999996E-2</v>
      </c>
      <c r="H84" s="229">
        <f t="shared" si="23"/>
        <v>8.3199999999999996E-2</v>
      </c>
    </row>
    <row r="100" spans="2:5" ht="17" thickBot="1"/>
    <row r="101" spans="2:5" ht="17" thickBot="1">
      <c r="B101" s="224" t="s">
        <v>237</v>
      </c>
      <c r="C101" s="187">
        <v>2024</v>
      </c>
      <c r="D101" s="187">
        <v>2025</v>
      </c>
      <c r="E101" s="188" t="s">
        <v>245</v>
      </c>
    </row>
    <row r="102" spans="2:5">
      <c r="B102" s="225" t="s">
        <v>238</v>
      </c>
      <c r="C102">
        <f>I29</f>
        <v>225.5</v>
      </c>
      <c r="D102">
        <f>J29</f>
        <v>254.6</v>
      </c>
      <c r="E102" s="227">
        <f>D102-C102</f>
        <v>29.099999999999994</v>
      </c>
    </row>
    <row r="103" spans="2:5">
      <c r="B103" s="203" t="s">
        <v>239</v>
      </c>
      <c r="C103">
        <f t="shared" ref="C103:C108" si="24">I30</f>
        <v>373.7</v>
      </c>
      <c r="D103">
        <f t="shared" ref="D103:D108" si="25">J30</f>
        <v>400.6</v>
      </c>
      <c r="E103" s="227">
        <f t="shared" ref="E103:E104" si="26">D103-C103</f>
        <v>26.900000000000034</v>
      </c>
    </row>
    <row r="104" spans="2:5">
      <c r="B104" s="203" t="s">
        <v>240</v>
      </c>
      <c r="C104">
        <f t="shared" si="24"/>
        <v>19.600000000000001</v>
      </c>
      <c r="D104">
        <f t="shared" si="25"/>
        <v>16.5</v>
      </c>
      <c r="E104" s="226">
        <f t="shared" si="26"/>
        <v>-3.1000000000000014</v>
      </c>
    </row>
    <row r="105" spans="2:5">
      <c r="B105" s="203" t="s">
        <v>241</v>
      </c>
      <c r="C105">
        <f t="shared" si="24"/>
        <v>89.4</v>
      </c>
      <c r="D105">
        <f t="shared" si="25"/>
        <v>83.2</v>
      </c>
      <c r="E105" s="227">
        <f>C105-D105</f>
        <v>6.2000000000000028</v>
      </c>
    </row>
    <row r="106" spans="2:5">
      <c r="B106" s="203" t="s">
        <v>242</v>
      </c>
      <c r="C106">
        <f t="shared" si="24"/>
        <v>61.4</v>
      </c>
      <c r="D106">
        <f t="shared" si="25"/>
        <v>75</v>
      </c>
      <c r="E106" s="226">
        <f>C106-D106</f>
        <v>-13.600000000000001</v>
      </c>
    </row>
    <row r="107" spans="2:5">
      <c r="B107" s="203" t="s">
        <v>243</v>
      </c>
      <c r="C107">
        <f t="shared" si="24"/>
        <v>206</v>
      </c>
      <c r="D107">
        <f t="shared" si="25"/>
        <v>184.8</v>
      </c>
      <c r="E107" s="227">
        <f>C107-D107</f>
        <v>21.199999999999989</v>
      </c>
    </row>
    <row r="108" spans="2:5" ht="17" thickBot="1">
      <c r="B108" s="202" t="s">
        <v>244</v>
      </c>
      <c r="C108" s="39">
        <f t="shared" si="24"/>
        <v>262.00000000000011</v>
      </c>
      <c r="D108" s="39">
        <f t="shared" si="25"/>
        <v>328.7</v>
      </c>
      <c r="E108" s="228">
        <f>D108-C108</f>
        <v>66.699999999999875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18F2-1BAC-A843-AE7C-A4E6BAF26344}">
  <dimension ref="B2:F1295"/>
  <sheetViews>
    <sheetView zoomScale="119" workbookViewId="0">
      <selection activeCell="D5" sqref="D5"/>
    </sheetView>
  </sheetViews>
  <sheetFormatPr baseColWidth="10" defaultRowHeight="16"/>
  <cols>
    <col min="2" max="2" width="30" bestFit="1" customWidth="1"/>
    <col min="3" max="3" width="13.6640625" bestFit="1" customWidth="1"/>
  </cols>
  <sheetData>
    <row r="2" spans="2:5">
      <c r="B2" s="233" t="s">
        <v>118</v>
      </c>
    </row>
    <row r="4" spans="2:5">
      <c r="B4" t="s">
        <v>99</v>
      </c>
      <c r="C4" s="1">
        <v>4.4600000000000001E-2</v>
      </c>
      <c r="E4" t="s">
        <v>195</v>
      </c>
    </row>
    <row r="5" spans="2:5">
      <c r="B5" t="s">
        <v>100</v>
      </c>
      <c r="C5" s="1">
        <v>5.2499999999999998E-2</v>
      </c>
    </row>
    <row r="6" spans="2:5">
      <c r="B6" t="s">
        <v>101</v>
      </c>
      <c r="C6" s="93">
        <f>(SLOPE(D40:D1295,F40:F1295))*2/3+1/3</f>
        <v>0.91486792393322891</v>
      </c>
    </row>
    <row r="7" spans="2:5">
      <c r="B7" t="s">
        <v>102</v>
      </c>
      <c r="C7">
        <v>0</v>
      </c>
    </row>
    <row r="8" spans="2:5">
      <c r="B8" t="s">
        <v>103</v>
      </c>
      <c r="C8" s="3">
        <f>C4+C6*C5+C7</f>
        <v>9.2630566006494525E-2</v>
      </c>
    </row>
    <row r="11" spans="2:5">
      <c r="B11" t="s">
        <v>104</v>
      </c>
      <c r="C11" s="1">
        <v>5.5E-2</v>
      </c>
    </row>
    <row r="12" spans="2:5">
      <c r="B12" t="s">
        <v>52</v>
      </c>
      <c r="C12" s="1">
        <f>'Forecast Base'!C57</f>
        <v>0.245</v>
      </c>
    </row>
    <row r="13" spans="2:5">
      <c r="B13" t="s">
        <v>105</v>
      </c>
      <c r="C13" s="3">
        <f>C11*(1-C12)</f>
        <v>4.1524999999999999E-2</v>
      </c>
    </row>
    <row r="16" spans="2:5">
      <c r="B16" t="s">
        <v>106</v>
      </c>
      <c r="C16" s="15">
        <f>'Historiske finansielle tall'!C4</f>
        <v>104.8</v>
      </c>
    </row>
    <row r="17" spans="2:3">
      <c r="B17" t="s">
        <v>84</v>
      </c>
      <c r="C17" s="145">
        <f>'Historiske finansielle tall'!C5</f>
        <v>296040156</v>
      </c>
    </row>
    <row r="18" spans="2:3">
      <c r="B18" t="s">
        <v>108</v>
      </c>
      <c r="C18" s="88">
        <f>(C16*C17)/1000000</f>
        <v>31025.008348799998</v>
      </c>
    </row>
    <row r="19" spans="2:3">
      <c r="B19" t="s">
        <v>107</v>
      </c>
      <c r="C19" s="15">
        <f>DCF!C21*DCF!C6</f>
        <v>5361.72</v>
      </c>
    </row>
    <row r="20" spans="2:3">
      <c r="B20" t="s">
        <v>110</v>
      </c>
      <c r="C20" s="15">
        <f>DCF!C22*DCF!C6</f>
        <v>1627.08</v>
      </c>
    </row>
    <row r="21" spans="2:3">
      <c r="B21" t="s">
        <v>111</v>
      </c>
      <c r="C21" s="89">
        <f>C19+C20</f>
        <v>6988.8</v>
      </c>
    </row>
    <row r="22" spans="2:3">
      <c r="B22" t="s">
        <v>112</v>
      </c>
      <c r="C22" s="88">
        <f>C18+C21</f>
        <v>38013.808348799997</v>
      </c>
    </row>
    <row r="23" spans="2:3">
      <c r="B23" t="s">
        <v>113</v>
      </c>
      <c r="C23" s="3">
        <f>C18/C22</f>
        <v>0.81615101712847404</v>
      </c>
    </row>
    <row r="24" spans="2:3">
      <c r="B24" t="s">
        <v>114</v>
      </c>
      <c r="C24" s="3">
        <f>C21/C22</f>
        <v>0.18384898287152593</v>
      </c>
    </row>
    <row r="26" spans="2:3">
      <c r="B26" t="s">
        <v>115</v>
      </c>
      <c r="C26" s="15">
        <f>C23+C24</f>
        <v>1</v>
      </c>
    </row>
    <row r="28" spans="2:3">
      <c r="B28" t="s">
        <v>113</v>
      </c>
      <c r="C28" s="3">
        <f>C23</f>
        <v>0.81615101712847404</v>
      </c>
    </row>
    <row r="29" spans="2:3">
      <c r="B29" t="s">
        <v>103</v>
      </c>
      <c r="C29" s="32">
        <f>C8</f>
        <v>9.2630566006494525E-2</v>
      </c>
    </row>
    <row r="30" spans="2:3">
      <c r="B30" t="s">
        <v>116</v>
      </c>
      <c r="C30" s="3">
        <f>C24</f>
        <v>0.18384898287152593</v>
      </c>
    </row>
    <row r="31" spans="2:3">
      <c r="B31" t="s">
        <v>117</v>
      </c>
      <c r="C31" s="3">
        <f>C13</f>
        <v>4.1524999999999999E-2</v>
      </c>
    </row>
    <row r="32" spans="2:3">
      <c r="B32" s="90" t="s">
        <v>69</v>
      </c>
      <c r="C32" s="91">
        <f>C28*C29+C30*C31</f>
        <v>8.3234859677126877E-2</v>
      </c>
    </row>
    <row r="34" spans="2:6">
      <c r="B34" t="s">
        <v>196</v>
      </c>
    </row>
    <row r="37" spans="2:6">
      <c r="B37" s="57" t="s">
        <v>190</v>
      </c>
    </row>
    <row r="38" spans="2:6">
      <c r="B38" s="146" t="s">
        <v>193</v>
      </c>
      <c r="C38" s="146" t="s">
        <v>192</v>
      </c>
      <c r="D38" s="146" t="s">
        <v>189</v>
      </c>
      <c r="E38" s="146" t="s">
        <v>191</v>
      </c>
      <c r="F38" s="146" t="s">
        <v>189</v>
      </c>
    </row>
    <row r="39" spans="2:6">
      <c r="B39" s="147">
        <v>44414</v>
      </c>
      <c r="C39" s="148">
        <v>255.8</v>
      </c>
      <c r="D39" s="146"/>
      <c r="E39" s="148">
        <v>1145.55</v>
      </c>
      <c r="F39" s="146"/>
    </row>
    <row r="40" spans="2:6">
      <c r="B40" s="147">
        <v>44421</v>
      </c>
      <c r="C40" s="148">
        <v>258.39999999999998</v>
      </c>
      <c r="D40" s="149">
        <f>(C40-C39)/C39</f>
        <v>1.0164190774042087E-2</v>
      </c>
      <c r="E40" s="148">
        <v>1159</v>
      </c>
      <c r="F40" s="149">
        <f>(E40-E39)/E39</f>
        <v>1.174108506830784E-2</v>
      </c>
    </row>
    <row r="41" spans="2:6">
      <c r="B41" s="147">
        <v>44428</v>
      </c>
      <c r="C41" s="148">
        <v>260.7</v>
      </c>
      <c r="D41" s="149">
        <f t="shared" ref="D41:D104" si="0">(C41-C40)/C40</f>
        <v>8.900928792569705E-3</v>
      </c>
      <c r="E41" s="148">
        <v>1133.18</v>
      </c>
      <c r="F41" s="149">
        <f t="shared" ref="F41:F104" si="1">(E41-E40)/E40</f>
        <v>-2.2277825711820479E-2</v>
      </c>
    </row>
    <row r="42" spans="2:6">
      <c r="B42" s="147">
        <v>44435</v>
      </c>
      <c r="C42" s="148">
        <v>262.8</v>
      </c>
      <c r="D42" s="149">
        <f t="shared" si="0"/>
        <v>8.0552359033372566E-3</v>
      </c>
      <c r="E42" s="148">
        <v>1164.58</v>
      </c>
      <c r="F42" s="149">
        <f t="shared" si="1"/>
        <v>2.7709631303058528E-2</v>
      </c>
    </row>
    <row r="43" spans="2:6">
      <c r="B43" s="147">
        <v>44442</v>
      </c>
      <c r="C43" s="148">
        <v>262.2</v>
      </c>
      <c r="D43" s="149">
        <f t="shared" si="0"/>
        <v>-2.2831050228311368E-3</v>
      </c>
      <c r="E43" s="148">
        <v>1161.8599999999999</v>
      </c>
      <c r="F43" s="149">
        <f t="shared" si="1"/>
        <v>-2.3356059695341046E-3</v>
      </c>
    </row>
    <row r="44" spans="2:6">
      <c r="B44" s="147">
        <v>44449</v>
      </c>
      <c r="C44" s="148">
        <v>256.60000000000002</v>
      </c>
      <c r="D44" s="149">
        <f t="shared" si="0"/>
        <v>-2.1357742181540681E-2</v>
      </c>
      <c r="E44" s="148">
        <v>1152.02</v>
      </c>
      <c r="F44" s="149">
        <f t="shared" si="1"/>
        <v>-8.469178730655948E-3</v>
      </c>
    </row>
    <row r="45" spans="2:6">
      <c r="B45" s="147">
        <v>44456</v>
      </c>
      <c r="C45" s="148">
        <v>240.65</v>
      </c>
      <c r="D45" s="149">
        <f t="shared" si="0"/>
        <v>-6.2159002338269743E-2</v>
      </c>
      <c r="E45" s="148">
        <v>1141.17</v>
      </c>
      <c r="F45" s="149">
        <f t="shared" si="1"/>
        <v>-9.4182392666793194E-3</v>
      </c>
    </row>
    <row r="46" spans="2:6">
      <c r="B46" s="147">
        <v>44463</v>
      </c>
      <c r="C46" s="148">
        <v>244.45</v>
      </c>
      <c r="D46" s="149">
        <f t="shared" si="0"/>
        <v>1.57905672137959E-2</v>
      </c>
      <c r="E46" s="148">
        <v>1155</v>
      </c>
      <c r="F46" s="149">
        <f t="shared" si="1"/>
        <v>1.2119140881726585E-2</v>
      </c>
    </row>
    <row r="47" spans="2:6">
      <c r="B47" s="147">
        <v>44470</v>
      </c>
      <c r="C47" s="148">
        <v>226.5</v>
      </c>
      <c r="D47" s="149">
        <f t="shared" si="0"/>
        <v>-7.3430149314788251E-2</v>
      </c>
      <c r="E47" s="148">
        <v>1164.43</v>
      </c>
      <c r="F47" s="149">
        <f t="shared" si="1"/>
        <v>8.1645021645022197E-3</v>
      </c>
    </row>
    <row r="48" spans="2:6">
      <c r="B48" s="147">
        <v>44477</v>
      </c>
      <c r="C48" s="148">
        <v>232</v>
      </c>
      <c r="D48" s="149">
        <f t="shared" si="0"/>
        <v>2.4282560706401765E-2</v>
      </c>
      <c r="E48" s="148">
        <v>1167.3499999999999</v>
      </c>
      <c r="F48" s="149">
        <f t="shared" si="1"/>
        <v>2.5076646943138232E-3</v>
      </c>
    </row>
    <row r="49" spans="2:6">
      <c r="B49" s="147">
        <v>44484</v>
      </c>
      <c r="C49" s="148">
        <v>241.15</v>
      </c>
      <c r="D49" s="149">
        <f t="shared" si="0"/>
        <v>3.9439655172413816E-2</v>
      </c>
      <c r="E49" s="148">
        <v>1197.57</v>
      </c>
      <c r="F49" s="149">
        <f t="shared" si="1"/>
        <v>2.5887694350451903E-2</v>
      </c>
    </row>
    <row r="50" spans="2:6">
      <c r="B50" s="147">
        <v>44491</v>
      </c>
      <c r="C50" s="148">
        <v>258.3</v>
      </c>
      <c r="D50" s="149">
        <f t="shared" si="0"/>
        <v>7.1117561683599437E-2</v>
      </c>
      <c r="E50" s="148">
        <v>1217.71</v>
      </c>
      <c r="F50" s="149">
        <f t="shared" si="1"/>
        <v>1.681738854513732E-2</v>
      </c>
    </row>
    <row r="51" spans="2:6">
      <c r="B51" s="147">
        <v>44498</v>
      </c>
      <c r="C51" s="148">
        <v>272.60000000000002</v>
      </c>
      <c r="D51" s="149">
        <f t="shared" si="0"/>
        <v>5.5361982191250526E-2</v>
      </c>
      <c r="E51" s="148">
        <v>1192.78</v>
      </c>
      <c r="F51" s="149">
        <f t="shared" si="1"/>
        <v>-2.0472854784801032E-2</v>
      </c>
    </row>
    <row r="52" spans="2:6">
      <c r="B52" s="147">
        <v>44505</v>
      </c>
      <c r="C52" s="148">
        <v>284.89999999999998</v>
      </c>
      <c r="D52" s="149">
        <f t="shared" si="0"/>
        <v>4.5121056493029908E-2</v>
      </c>
      <c r="E52" s="148">
        <v>1232.48</v>
      </c>
      <c r="F52" s="149">
        <f t="shared" si="1"/>
        <v>3.328358959741113E-2</v>
      </c>
    </row>
    <row r="53" spans="2:6">
      <c r="B53" s="147">
        <v>44512</v>
      </c>
      <c r="C53" s="148">
        <v>293</v>
      </c>
      <c r="D53" s="149">
        <f t="shared" si="0"/>
        <v>2.8431028431028512E-2</v>
      </c>
      <c r="E53" s="148">
        <v>1233.43</v>
      </c>
      <c r="F53" s="149">
        <f t="shared" si="1"/>
        <v>7.7080358301963965E-4</v>
      </c>
    </row>
    <row r="54" spans="2:6">
      <c r="B54" s="147">
        <v>44519</v>
      </c>
      <c r="C54" s="148">
        <v>302</v>
      </c>
      <c r="D54" s="149">
        <f t="shared" si="0"/>
        <v>3.0716723549488054E-2</v>
      </c>
      <c r="E54" s="148">
        <v>1222.8</v>
      </c>
      <c r="F54" s="149">
        <f t="shared" si="1"/>
        <v>-8.618243434974103E-3</v>
      </c>
    </row>
    <row r="55" spans="2:6">
      <c r="B55" s="147">
        <v>44526</v>
      </c>
      <c r="C55" s="148">
        <v>296.3</v>
      </c>
      <c r="D55" s="149">
        <f t="shared" si="0"/>
        <v>-1.8874172185430426E-2</v>
      </c>
      <c r="E55" s="148">
        <v>1174.93</v>
      </c>
      <c r="F55" s="149">
        <f t="shared" si="1"/>
        <v>-3.9147857376512836E-2</v>
      </c>
    </row>
    <row r="56" spans="2:6">
      <c r="B56" s="147">
        <v>44533</v>
      </c>
      <c r="C56" s="148">
        <v>303.89999999999998</v>
      </c>
      <c r="D56" s="149">
        <f t="shared" si="0"/>
        <v>2.5649679379007646E-2</v>
      </c>
      <c r="E56" s="148">
        <v>1174.74</v>
      </c>
      <c r="F56" s="149">
        <f t="shared" si="1"/>
        <v>-1.6171176155179847E-4</v>
      </c>
    </row>
    <row r="57" spans="2:6">
      <c r="B57" s="147">
        <v>44540</v>
      </c>
      <c r="C57" s="148">
        <v>307.7</v>
      </c>
      <c r="D57" s="149">
        <f t="shared" si="0"/>
        <v>1.2504113195130015E-2</v>
      </c>
      <c r="E57" s="148">
        <v>1184.8900000000001</v>
      </c>
      <c r="F57" s="149">
        <f t="shared" si="1"/>
        <v>8.6402097485401806E-3</v>
      </c>
    </row>
    <row r="58" spans="2:6">
      <c r="B58" s="147">
        <v>44547</v>
      </c>
      <c r="C58" s="148">
        <v>302</v>
      </c>
      <c r="D58" s="149">
        <f t="shared" si="0"/>
        <v>-1.8524536886577798E-2</v>
      </c>
      <c r="E58" s="148">
        <v>1168.46</v>
      </c>
      <c r="F58" s="149">
        <f t="shared" si="1"/>
        <v>-1.3866266066892338E-2</v>
      </c>
    </row>
    <row r="59" spans="2:6">
      <c r="B59" s="147">
        <v>44553</v>
      </c>
      <c r="C59" s="148">
        <v>306.10000000000002</v>
      </c>
      <c r="D59" s="149">
        <f t="shared" si="0"/>
        <v>1.3576158940397426E-2</v>
      </c>
      <c r="E59" s="148">
        <v>1195.42</v>
      </c>
      <c r="F59" s="149">
        <f t="shared" si="1"/>
        <v>2.3073104770381558E-2</v>
      </c>
    </row>
    <row r="60" spans="2:6">
      <c r="B60" s="147">
        <v>44560</v>
      </c>
      <c r="C60" s="148">
        <v>315.5</v>
      </c>
      <c r="D60" s="149">
        <f t="shared" si="0"/>
        <v>3.0708918654034554E-2</v>
      </c>
      <c r="E60" s="148">
        <v>1201.43</v>
      </c>
      <c r="F60" s="149">
        <f t="shared" si="1"/>
        <v>5.0275217078516255E-3</v>
      </c>
    </row>
    <row r="61" spans="2:6">
      <c r="B61" s="147">
        <v>44568</v>
      </c>
      <c r="C61" s="148">
        <v>297.5</v>
      </c>
      <c r="D61" s="149">
        <f t="shared" si="0"/>
        <v>-5.7052297939778132E-2</v>
      </c>
      <c r="E61" s="148">
        <v>1207.93</v>
      </c>
      <c r="F61" s="149">
        <f t="shared" si="1"/>
        <v>5.4102194884429388E-3</v>
      </c>
    </row>
    <row r="62" spans="2:6">
      <c r="B62" s="147">
        <v>44575</v>
      </c>
      <c r="C62" s="148">
        <v>258.8</v>
      </c>
      <c r="D62" s="149">
        <f t="shared" si="0"/>
        <v>-0.13008403361344534</v>
      </c>
      <c r="E62" s="148">
        <v>1218.95</v>
      </c>
      <c r="F62" s="149">
        <f t="shared" si="1"/>
        <v>9.1230452095733862E-3</v>
      </c>
    </row>
    <row r="63" spans="2:6">
      <c r="B63" s="147">
        <v>44582</v>
      </c>
      <c r="C63" s="148">
        <v>236.65</v>
      </c>
      <c r="D63" s="149">
        <f t="shared" si="0"/>
        <v>-8.5587326120556431E-2</v>
      </c>
      <c r="E63" s="148">
        <v>1182.75</v>
      </c>
      <c r="F63" s="149">
        <f t="shared" si="1"/>
        <v>-2.9697690635382946E-2</v>
      </c>
    </row>
    <row r="64" spans="2:6">
      <c r="B64" s="147">
        <v>44589</v>
      </c>
      <c r="C64" s="148">
        <v>214</v>
      </c>
      <c r="D64" s="149">
        <f t="shared" si="0"/>
        <v>-9.5710965560955014E-2</v>
      </c>
      <c r="E64" s="148">
        <v>1170.08</v>
      </c>
      <c r="F64" s="149">
        <f t="shared" si="1"/>
        <v>-1.0712322976115048E-2</v>
      </c>
    </row>
    <row r="65" spans="2:6">
      <c r="B65" s="147">
        <v>44596</v>
      </c>
      <c r="C65" s="148">
        <v>213.95</v>
      </c>
      <c r="D65" s="149">
        <f t="shared" si="0"/>
        <v>-2.3364485981313725E-4</v>
      </c>
      <c r="E65" s="148">
        <v>1192.49</v>
      </c>
      <c r="F65" s="149">
        <f t="shared" si="1"/>
        <v>1.9152536578695544E-2</v>
      </c>
    </row>
    <row r="66" spans="2:6">
      <c r="B66" s="147">
        <v>44603</v>
      </c>
      <c r="C66" s="148">
        <v>213</v>
      </c>
      <c r="D66" s="149">
        <f t="shared" si="0"/>
        <v>-4.4402897873334363E-3</v>
      </c>
      <c r="E66" s="148">
        <v>1213.67</v>
      </c>
      <c r="F66" s="149">
        <f t="shared" si="1"/>
        <v>1.7761155229813301E-2</v>
      </c>
    </row>
    <row r="67" spans="2:6">
      <c r="B67" s="147">
        <v>44610</v>
      </c>
      <c r="C67" s="148">
        <v>216.5</v>
      </c>
      <c r="D67" s="149">
        <f t="shared" si="0"/>
        <v>1.6431924882629109E-2</v>
      </c>
      <c r="E67" s="148">
        <v>1188.94</v>
      </c>
      <c r="F67" s="149">
        <f t="shared" si="1"/>
        <v>-2.037621429218817E-2</v>
      </c>
    </row>
    <row r="68" spans="2:6">
      <c r="B68" s="147">
        <v>44617</v>
      </c>
      <c r="C68" s="148">
        <v>210.2</v>
      </c>
      <c r="D68" s="149">
        <f t="shared" si="0"/>
        <v>-2.90993071593534E-2</v>
      </c>
      <c r="E68" s="148">
        <v>1185.9100000000001</v>
      </c>
      <c r="F68" s="149">
        <f t="shared" si="1"/>
        <v>-2.5484885696502538E-3</v>
      </c>
    </row>
    <row r="69" spans="2:6">
      <c r="B69" s="147">
        <v>44624</v>
      </c>
      <c r="C69" s="148">
        <v>197.2</v>
      </c>
      <c r="D69" s="149">
        <f t="shared" si="0"/>
        <v>-6.1845861084681257E-2</v>
      </c>
      <c r="E69" s="148">
        <v>1190.4000000000001</v>
      </c>
      <c r="F69" s="149">
        <f t="shared" si="1"/>
        <v>3.7861220497339668E-3</v>
      </c>
    </row>
    <row r="70" spans="2:6">
      <c r="B70" s="147">
        <v>44631</v>
      </c>
      <c r="C70" s="148">
        <v>203.15</v>
      </c>
      <c r="D70" s="149">
        <f t="shared" si="0"/>
        <v>3.0172413793103536E-2</v>
      </c>
      <c r="E70" s="148">
        <v>1194.29</v>
      </c>
      <c r="F70" s="149">
        <f t="shared" si="1"/>
        <v>3.2678091397848391E-3</v>
      </c>
    </row>
    <row r="71" spans="2:6">
      <c r="B71" s="147">
        <v>44638</v>
      </c>
      <c r="C71" s="148">
        <v>225.3</v>
      </c>
      <c r="D71" s="149">
        <f t="shared" si="0"/>
        <v>0.10903273443268523</v>
      </c>
      <c r="E71" s="148">
        <v>1228.54</v>
      </c>
      <c r="F71" s="149">
        <f t="shared" si="1"/>
        <v>2.8678126753133661E-2</v>
      </c>
    </row>
    <row r="72" spans="2:6">
      <c r="B72" s="147">
        <v>44645</v>
      </c>
      <c r="C72" s="148">
        <v>213.9</v>
      </c>
      <c r="D72" s="149">
        <f t="shared" si="0"/>
        <v>-5.059920106524636E-2</v>
      </c>
      <c r="E72" s="148">
        <v>1261.53</v>
      </c>
      <c r="F72" s="149">
        <f t="shared" si="1"/>
        <v>2.6853012518924912E-2</v>
      </c>
    </row>
    <row r="73" spans="2:6">
      <c r="B73" s="147">
        <v>44652</v>
      </c>
      <c r="C73" s="148">
        <v>231.9</v>
      </c>
      <c r="D73" s="149">
        <f t="shared" si="0"/>
        <v>8.4151472650771386E-2</v>
      </c>
      <c r="E73" s="148">
        <v>1269.8399999999999</v>
      </c>
      <c r="F73" s="149">
        <f t="shared" si="1"/>
        <v>6.5872393046538299E-3</v>
      </c>
    </row>
    <row r="74" spans="2:6">
      <c r="B74" s="147">
        <v>44659</v>
      </c>
      <c r="C74" s="148">
        <v>222.5</v>
      </c>
      <c r="D74" s="149">
        <f t="shared" si="0"/>
        <v>-4.053471323846488E-2</v>
      </c>
      <c r="E74" s="148">
        <v>1276.6199999999999</v>
      </c>
      <c r="F74" s="149">
        <f t="shared" si="1"/>
        <v>5.3392553392553185E-3</v>
      </c>
    </row>
    <row r="75" spans="2:6">
      <c r="B75" s="147">
        <v>44664</v>
      </c>
      <c r="C75" s="148">
        <v>222.4</v>
      </c>
      <c r="D75" s="149">
        <f t="shared" si="0"/>
        <v>-4.4943820224716544E-4</v>
      </c>
      <c r="E75" s="148">
        <v>1283.1300000000001</v>
      </c>
      <c r="F75" s="149">
        <f t="shared" si="1"/>
        <v>5.0994031113410559E-3</v>
      </c>
    </row>
    <row r="76" spans="2:6">
      <c r="B76" s="147">
        <v>44673</v>
      </c>
      <c r="C76" s="148">
        <v>216.85</v>
      </c>
      <c r="D76" s="149">
        <f t="shared" si="0"/>
        <v>-2.4955035971223071E-2</v>
      </c>
      <c r="E76" s="148">
        <v>1263.8800000000001</v>
      </c>
      <c r="F76" s="149">
        <f t="shared" si="1"/>
        <v>-1.5002376999992205E-2</v>
      </c>
    </row>
    <row r="77" spans="2:6">
      <c r="B77" s="147">
        <v>44680</v>
      </c>
      <c r="C77" s="148">
        <v>186.4</v>
      </c>
      <c r="D77" s="149">
        <f t="shared" si="0"/>
        <v>-0.14041964491584039</v>
      </c>
      <c r="E77" s="148">
        <v>1239.82</v>
      </c>
      <c r="F77" s="149">
        <f t="shared" si="1"/>
        <v>-1.9036617400386247E-2</v>
      </c>
    </row>
    <row r="78" spans="2:6">
      <c r="B78" s="147">
        <v>44687</v>
      </c>
      <c r="C78" s="148">
        <v>170.55</v>
      </c>
      <c r="D78" s="149">
        <f t="shared" si="0"/>
        <v>-8.5032188841201686E-2</v>
      </c>
      <c r="E78" s="148">
        <v>1213.8399999999999</v>
      </c>
      <c r="F78" s="149">
        <f t="shared" si="1"/>
        <v>-2.095465470794149E-2</v>
      </c>
    </row>
    <row r="79" spans="2:6">
      <c r="B79" s="147">
        <v>44694</v>
      </c>
      <c r="C79" s="148">
        <v>177.3</v>
      </c>
      <c r="D79" s="149">
        <f t="shared" si="0"/>
        <v>3.9577836411609495E-2</v>
      </c>
      <c r="E79" s="148">
        <v>1214.73</v>
      </c>
      <c r="F79" s="149">
        <f t="shared" si="1"/>
        <v>7.3321030778364534E-4</v>
      </c>
    </row>
    <row r="80" spans="2:6">
      <c r="B80" s="147">
        <v>44701</v>
      </c>
      <c r="C80" s="148">
        <v>174.6</v>
      </c>
      <c r="D80" s="149">
        <f t="shared" si="0"/>
        <v>-1.5228426395939182E-2</v>
      </c>
      <c r="E80" s="148">
        <v>1238.1199999999999</v>
      </c>
      <c r="F80" s="149">
        <f t="shared" si="1"/>
        <v>1.9255307763865116E-2</v>
      </c>
    </row>
    <row r="81" spans="2:6">
      <c r="B81" s="147">
        <v>44708</v>
      </c>
      <c r="C81" s="148">
        <v>188.7</v>
      </c>
      <c r="D81" s="149">
        <f t="shared" si="0"/>
        <v>8.0756013745704444E-2</v>
      </c>
      <c r="E81" s="148">
        <v>1276.54</v>
      </c>
      <c r="F81" s="149">
        <f t="shared" si="1"/>
        <v>3.1030917843181658E-2</v>
      </c>
    </row>
    <row r="82" spans="2:6">
      <c r="B82" s="147">
        <v>44715</v>
      </c>
      <c r="C82" s="148">
        <v>182.72</v>
      </c>
      <c r="D82" s="149">
        <f t="shared" si="0"/>
        <v>-3.1690514043455166E-2</v>
      </c>
      <c r="E82" s="148">
        <v>1266.5899999999999</v>
      </c>
      <c r="F82" s="149">
        <f t="shared" si="1"/>
        <v>-7.7945070268068727E-3</v>
      </c>
    </row>
    <row r="83" spans="2:6">
      <c r="B83" s="147">
        <v>44722</v>
      </c>
      <c r="C83" s="148">
        <v>174.26</v>
      </c>
      <c r="D83" s="149">
        <f t="shared" si="0"/>
        <v>-4.6300350262697069E-2</v>
      </c>
      <c r="E83" s="148">
        <v>1232.67</v>
      </c>
      <c r="F83" s="149">
        <f t="shared" si="1"/>
        <v>-2.6780568297554732E-2</v>
      </c>
    </row>
    <row r="84" spans="2:6">
      <c r="B84" s="147">
        <v>44729</v>
      </c>
      <c r="C84" s="148">
        <v>157.86000000000001</v>
      </c>
      <c r="D84" s="149">
        <f t="shared" si="0"/>
        <v>-9.4112246069092034E-2</v>
      </c>
      <c r="E84" s="148">
        <v>1195.93</v>
      </c>
      <c r="F84" s="149">
        <f t="shared" si="1"/>
        <v>-2.9805219564035798E-2</v>
      </c>
    </row>
    <row r="85" spans="2:6">
      <c r="B85" s="147">
        <v>44736</v>
      </c>
      <c r="C85" s="148">
        <v>170.24</v>
      </c>
      <c r="D85" s="149">
        <f t="shared" si="0"/>
        <v>7.8423919929051025E-2</v>
      </c>
      <c r="E85" s="148">
        <v>1161.22</v>
      </c>
      <c r="F85" s="149">
        <f t="shared" si="1"/>
        <v>-2.9023437826628678E-2</v>
      </c>
    </row>
    <row r="86" spans="2:6">
      <c r="B86" s="147">
        <v>44743</v>
      </c>
      <c r="C86" s="148">
        <v>194.48</v>
      </c>
      <c r="D86" s="149">
        <f t="shared" si="0"/>
        <v>0.14238721804511267</v>
      </c>
      <c r="E86" s="148">
        <v>1163.57</v>
      </c>
      <c r="F86" s="149">
        <f t="shared" si="1"/>
        <v>2.0237336594270757E-3</v>
      </c>
    </row>
    <row r="87" spans="2:6">
      <c r="B87" s="147">
        <v>44750</v>
      </c>
      <c r="C87" s="148">
        <v>196.3</v>
      </c>
      <c r="D87" s="149">
        <f t="shared" si="0"/>
        <v>9.3582887700535879E-3</v>
      </c>
      <c r="E87" s="148">
        <v>1186.44</v>
      </c>
      <c r="F87" s="149">
        <f t="shared" si="1"/>
        <v>1.9655027200770146E-2</v>
      </c>
    </row>
    <row r="88" spans="2:6">
      <c r="B88" s="147">
        <v>44757</v>
      </c>
      <c r="C88" s="148">
        <v>192.46</v>
      </c>
      <c r="D88" s="149">
        <f t="shared" si="0"/>
        <v>-1.9561895058583818E-2</v>
      </c>
      <c r="E88" s="148">
        <v>1159.96</v>
      </c>
      <c r="F88" s="149">
        <f t="shared" si="1"/>
        <v>-2.2318869896497097E-2</v>
      </c>
    </row>
    <row r="89" spans="2:6">
      <c r="B89" s="147">
        <v>44764</v>
      </c>
      <c r="C89" s="148">
        <v>205.3</v>
      </c>
      <c r="D89" s="149">
        <f t="shared" si="0"/>
        <v>6.6715161592019137E-2</v>
      </c>
      <c r="E89" s="148">
        <v>1204</v>
      </c>
      <c r="F89" s="149">
        <f t="shared" si="1"/>
        <v>3.7966826442291081E-2</v>
      </c>
    </row>
    <row r="90" spans="2:6">
      <c r="B90" s="147">
        <v>44771</v>
      </c>
      <c r="C90" s="148">
        <v>224.65</v>
      </c>
      <c r="D90" s="149">
        <f t="shared" si="0"/>
        <v>9.4252313687286871E-2</v>
      </c>
      <c r="E90" s="148">
        <v>1253.18</v>
      </c>
      <c r="F90" s="149">
        <f t="shared" si="1"/>
        <v>4.0847176079734274E-2</v>
      </c>
    </row>
    <row r="91" spans="2:6">
      <c r="B91" s="147">
        <v>44778</v>
      </c>
      <c r="C91" s="148">
        <v>217.25</v>
      </c>
      <c r="D91" s="149">
        <f t="shared" si="0"/>
        <v>-3.2940129089695104E-2</v>
      </c>
      <c r="E91" s="148">
        <v>1245.18</v>
      </c>
      <c r="F91" s="149">
        <f t="shared" si="1"/>
        <v>-6.3837597152843163E-3</v>
      </c>
    </row>
    <row r="92" spans="2:6">
      <c r="B92" s="147">
        <v>44785</v>
      </c>
      <c r="C92" s="148">
        <v>242.95</v>
      </c>
      <c r="D92" s="149">
        <f t="shared" si="0"/>
        <v>0.11829689298043723</v>
      </c>
      <c r="E92" s="148">
        <v>1261.75</v>
      </c>
      <c r="F92" s="149">
        <f t="shared" si="1"/>
        <v>1.3307312998923798E-2</v>
      </c>
    </row>
    <row r="93" spans="2:6">
      <c r="B93" s="147">
        <v>44792</v>
      </c>
      <c r="C93" s="148">
        <v>234</v>
      </c>
      <c r="D93" s="149">
        <f t="shared" si="0"/>
        <v>-3.6838855731631981E-2</v>
      </c>
      <c r="E93" s="148">
        <v>1269.04</v>
      </c>
      <c r="F93" s="149">
        <f t="shared" si="1"/>
        <v>5.7776897166633354E-3</v>
      </c>
    </row>
    <row r="94" spans="2:6">
      <c r="B94" s="147">
        <v>44799</v>
      </c>
      <c r="C94" s="148">
        <v>230.15</v>
      </c>
      <c r="D94" s="149">
        <f t="shared" si="0"/>
        <v>-1.6452991452991429E-2</v>
      </c>
      <c r="E94" s="148">
        <v>1276.0999999999999</v>
      </c>
      <c r="F94" s="149">
        <f t="shared" si="1"/>
        <v>5.5632604173232883E-3</v>
      </c>
    </row>
    <row r="95" spans="2:6">
      <c r="B95" s="147">
        <v>44806</v>
      </c>
      <c r="C95" s="148">
        <v>224.7</v>
      </c>
      <c r="D95" s="149">
        <f t="shared" si="0"/>
        <v>-2.3680208559635093E-2</v>
      </c>
      <c r="E95" s="148">
        <v>1237.67</v>
      </c>
      <c r="F95" s="149">
        <f t="shared" si="1"/>
        <v>-3.0115194733954895E-2</v>
      </c>
    </row>
    <row r="96" spans="2:6">
      <c r="B96" s="147">
        <v>44813</v>
      </c>
      <c r="C96" s="148">
        <v>233.45</v>
      </c>
      <c r="D96" s="149">
        <f t="shared" si="0"/>
        <v>3.8940809968847356E-2</v>
      </c>
      <c r="E96" s="148">
        <v>1207.6099999999999</v>
      </c>
      <c r="F96" s="149">
        <f t="shared" si="1"/>
        <v>-2.4287572616287195E-2</v>
      </c>
    </row>
    <row r="97" spans="2:6">
      <c r="B97" s="147">
        <v>44820</v>
      </c>
      <c r="C97" s="148">
        <v>199.5</v>
      </c>
      <c r="D97" s="149">
        <f t="shared" si="0"/>
        <v>-0.14542728635682156</v>
      </c>
      <c r="E97" s="148">
        <v>1175.1500000000001</v>
      </c>
      <c r="F97" s="149">
        <f t="shared" si="1"/>
        <v>-2.6879538923990205E-2</v>
      </c>
    </row>
    <row r="98" spans="2:6">
      <c r="B98" s="147">
        <v>44827</v>
      </c>
      <c r="C98" s="148">
        <v>181.5</v>
      </c>
      <c r="D98" s="149">
        <f t="shared" si="0"/>
        <v>-9.0225563909774431E-2</v>
      </c>
      <c r="E98" s="148">
        <v>1112.2</v>
      </c>
      <c r="F98" s="149">
        <f t="shared" si="1"/>
        <v>-5.3567629664298212E-2</v>
      </c>
    </row>
    <row r="99" spans="2:6">
      <c r="B99" s="147">
        <v>44834</v>
      </c>
      <c r="C99" s="148">
        <v>192.38</v>
      </c>
      <c r="D99" s="149">
        <f t="shared" si="0"/>
        <v>5.9944903581267195E-2</v>
      </c>
      <c r="E99" s="148">
        <v>1102.79</v>
      </c>
      <c r="F99" s="149">
        <f t="shared" si="1"/>
        <v>-8.4607085056645215E-3</v>
      </c>
    </row>
    <row r="100" spans="2:6">
      <c r="B100" s="147">
        <v>44841</v>
      </c>
      <c r="C100" s="148">
        <v>169.4</v>
      </c>
      <c r="D100" s="149">
        <f t="shared" si="0"/>
        <v>-0.11945108639151673</v>
      </c>
      <c r="E100" s="148">
        <v>1136.43</v>
      </c>
      <c r="F100" s="149">
        <f t="shared" si="1"/>
        <v>3.0504447809646534E-2</v>
      </c>
    </row>
    <row r="101" spans="2:6">
      <c r="B101" s="147">
        <v>44848</v>
      </c>
      <c r="C101" s="148">
        <v>166.1</v>
      </c>
      <c r="D101" s="149">
        <f t="shared" si="0"/>
        <v>-1.9480519480519546E-2</v>
      </c>
      <c r="E101" s="148">
        <v>1113.2</v>
      </c>
      <c r="F101" s="149">
        <f t="shared" si="1"/>
        <v>-2.0441206233555977E-2</v>
      </c>
    </row>
    <row r="102" spans="2:6">
      <c r="B102" s="147">
        <v>44855</v>
      </c>
      <c r="C102" s="148">
        <v>154</v>
      </c>
      <c r="D102" s="149">
        <f t="shared" si="0"/>
        <v>-7.2847682119205268E-2</v>
      </c>
      <c r="E102" s="148">
        <v>1131.55</v>
      </c>
      <c r="F102" s="149">
        <f t="shared" si="1"/>
        <v>1.6484010061085078E-2</v>
      </c>
    </row>
    <row r="103" spans="2:6">
      <c r="B103" s="147">
        <v>44862</v>
      </c>
      <c r="C103" s="148">
        <v>168.96</v>
      </c>
      <c r="D103" s="149">
        <f t="shared" si="0"/>
        <v>9.7142857142857197E-2</v>
      </c>
      <c r="E103" s="148">
        <v>1164.49</v>
      </c>
      <c r="F103" s="149">
        <f t="shared" si="1"/>
        <v>2.9110512129380102E-2</v>
      </c>
    </row>
    <row r="104" spans="2:6">
      <c r="B104" s="147">
        <v>44869</v>
      </c>
      <c r="C104" s="148">
        <v>163.08000000000001</v>
      </c>
      <c r="D104" s="149">
        <f t="shared" si="0"/>
        <v>-3.4801136363636333E-2</v>
      </c>
      <c r="E104" s="148">
        <v>1199.27</v>
      </c>
      <c r="F104" s="149">
        <f t="shared" si="1"/>
        <v>2.9867152143856945E-2</v>
      </c>
    </row>
    <row r="105" spans="2:6">
      <c r="B105" s="147">
        <v>44876</v>
      </c>
      <c r="C105" s="148">
        <v>185.58</v>
      </c>
      <c r="D105" s="149">
        <f t="shared" ref="D105:D168" si="2">(C105-C104)/C104</f>
        <v>0.13796909492273729</v>
      </c>
      <c r="E105" s="148">
        <v>1196.21</v>
      </c>
      <c r="F105" s="149">
        <f t="shared" ref="F105:F168" si="3">(E105-E104)/E104</f>
        <v>-2.5515521942514577E-3</v>
      </c>
    </row>
    <row r="106" spans="2:6">
      <c r="B106" s="147">
        <v>44883</v>
      </c>
      <c r="C106" s="148">
        <v>182.86</v>
      </c>
      <c r="D106" s="149">
        <f t="shared" si="2"/>
        <v>-1.465675180515141E-2</v>
      </c>
      <c r="E106" s="148">
        <v>1176.51</v>
      </c>
      <c r="F106" s="149">
        <f t="shared" si="3"/>
        <v>-1.6468680248451398E-2</v>
      </c>
    </row>
    <row r="107" spans="2:6">
      <c r="B107" s="147">
        <v>44890</v>
      </c>
      <c r="C107" s="148">
        <v>187</v>
      </c>
      <c r="D107" s="149">
        <f t="shared" si="2"/>
        <v>2.264027124576171E-2</v>
      </c>
      <c r="E107" s="148">
        <v>1215.51</v>
      </c>
      <c r="F107" s="149">
        <f t="shared" si="3"/>
        <v>3.3148889512201345E-2</v>
      </c>
    </row>
    <row r="108" spans="2:6">
      <c r="B108" s="147">
        <v>44897</v>
      </c>
      <c r="C108" s="148">
        <v>197.52</v>
      </c>
      <c r="D108" s="149">
        <f t="shared" si="2"/>
        <v>5.6256684491978667E-2</v>
      </c>
      <c r="E108" s="148">
        <v>1210.04</v>
      </c>
      <c r="F108" s="149">
        <f t="shared" si="3"/>
        <v>-4.5001686534870359E-3</v>
      </c>
    </row>
    <row r="109" spans="2:6">
      <c r="B109" s="147">
        <v>44904</v>
      </c>
      <c r="C109" s="148">
        <v>204.45</v>
      </c>
      <c r="D109" s="149">
        <f t="shared" si="2"/>
        <v>3.5085054678007183E-2</v>
      </c>
      <c r="E109" s="148">
        <v>1196.53</v>
      </c>
      <c r="F109" s="149">
        <f t="shared" si="3"/>
        <v>-1.1164920167928326E-2</v>
      </c>
    </row>
    <row r="110" spans="2:6">
      <c r="B110" s="147">
        <v>44911</v>
      </c>
      <c r="C110" s="148">
        <v>182.32</v>
      </c>
      <c r="D110" s="149">
        <f t="shared" si="2"/>
        <v>-0.10824162386891659</v>
      </c>
      <c r="E110" s="148">
        <v>1180.79</v>
      </c>
      <c r="F110" s="149">
        <f t="shared" si="3"/>
        <v>-1.3154705690622057E-2</v>
      </c>
    </row>
    <row r="111" spans="2:6">
      <c r="B111" s="147">
        <v>44918</v>
      </c>
      <c r="C111" s="148">
        <v>164.22</v>
      </c>
      <c r="D111" s="149">
        <f t="shared" si="2"/>
        <v>-9.9275998244844205E-2</v>
      </c>
      <c r="E111" s="148">
        <v>1199.71</v>
      </c>
      <c r="F111" s="149">
        <f t="shared" si="3"/>
        <v>1.6023170927938136E-2</v>
      </c>
    </row>
    <row r="112" spans="2:6">
      <c r="B112" s="147">
        <v>44925</v>
      </c>
      <c r="C112" s="148">
        <v>165.6</v>
      </c>
      <c r="D112" s="149">
        <f t="shared" si="2"/>
        <v>8.403361344537787E-3</v>
      </c>
      <c r="E112" s="148">
        <v>1189</v>
      </c>
      <c r="F112" s="149">
        <f t="shared" si="3"/>
        <v>-8.9271573963708196E-3</v>
      </c>
    </row>
    <row r="113" spans="2:6">
      <c r="B113" s="147">
        <v>44932</v>
      </c>
      <c r="C113" s="148">
        <v>175.32</v>
      </c>
      <c r="D113" s="149">
        <f t="shared" si="2"/>
        <v>5.8695652173913038E-2</v>
      </c>
      <c r="E113" s="148">
        <v>1185.82</v>
      </c>
      <c r="F113" s="149">
        <f t="shared" si="3"/>
        <v>-2.6745164003364706E-3</v>
      </c>
    </row>
    <row r="114" spans="2:6">
      <c r="B114" s="147">
        <v>44939</v>
      </c>
      <c r="C114" s="148">
        <v>186.34</v>
      </c>
      <c r="D114" s="149">
        <f t="shared" si="2"/>
        <v>6.2856490987907881E-2</v>
      </c>
      <c r="E114" s="148">
        <v>1192.51</v>
      </c>
      <c r="F114" s="149">
        <f t="shared" si="3"/>
        <v>5.6416656828186867E-3</v>
      </c>
    </row>
    <row r="115" spans="2:6">
      <c r="B115" s="147">
        <v>44946</v>
      </c>
      <c r="C115" s="148">
        <v>182.76</v>
      </c>
      <c r="D115" s="149">
        <f t="shared" si="2"/>
        <v>-1.921219276591184E-2</v>
      </c>
      <c r="E115" s="148">
        <v>1189.32</v>
      </c>
      <c r="F115" s="149">
        <f t="shared" si="3"/>
        <v>-2.6750299787842908E-3</v>
      </c>
    </row>
    <row r="116" spans="2:6">
      <c r="B116" s="147">
        <v>44953</v>
      </c>
      <c r="C116" s="148">
        <v>184.14</v>
      </c>
      <c r="D116" s="149">
        <f t="shared" si="2"/>
        <v>7.5508864084044402E-3</v>
      </c>
      <c r="E116" s="148">
        <v>1199.1600000000001</v>
      </c>
      <c r="F116" s="149">
        <f t="shared" si="3"/>
        <v>8.2736353546565659E-3</v>
      </c>
    </row>
    <row r="117" spans="2:6">
      <c r="B117" s="147">
        <v>44960</v>
      </c>
      <c r="C117" s="148">
        <v>175.8</v>
      </c>
      <c r="D117" s="149">
        <f t="shared" si="2"/>
        <v>-4.5291625936787094E-2</v>
      </c>
      <c r="E117" s="148">
        <v>1211.3499999999999</v>
      </c>
      <c r="F117" s="149">
        <f t="shared" si="3"/>
        <v>1.0165449147736604E-2</v>
      </c>
    </row>
    <row r="118" spans="2:6">
      <c r="B118" s="147">
        <v>44967</v>
      </c>
      <c r="C118" s="148">
        <v>175.22</v>
      </c>
      <c r="D118" s="149">
        <f t="shared" si="2"/>
        <v>-3.2992036405006396E-3</v>
      </c>
      <c r="E118" s="148">
        <v>1238.25</v>
      </c>
      <c r="F118" s="149">
        <f t="shared" si="3"/>
        <v>2.2206628967680764E-2</v>
      </c>
    </row>
    <row r="119" spans="2:6">
      <c r="B119" s="147">
        <v>44974</v>
      </c>
      <c r="C119" s="148">
        <v>183.46</v>
      </c>
      <c r="D119" s="149">
        <f t="shared" si="2"/>
        <v>4.7026595137541427E-2</v>
      </c>
      <c r="E119" s="148">
        <v>1229.49</v>
      </c>
      <c r="F119" s="149">
        <f t="shared" si="3"/>
        <v>-7.0745003028467521E-3</v>
      </c>
    </row>
    <row r="120" spans="2:6">
      <c r="B120" s="147">
        <v>44981</v>
      </c>
      <c r="C120" s="148">
        <v>174.24</v>
      </c>
      <c r="D120" s="149">
        <f t="shared" si="2"/>
        <v>-5.0256186634688754E-2</v>
      </c>
      <c r="E120" s="148">
        <v>1226.6500000000001</v>
      </c>
      <c r="F120" s="149">
        <f t="shared" si="3"/>
        <v>-2.3099008531992276E-3</v>
      </c>
    </row>
    <row r="121" spans="2:6">
      <c r="B121" s="147">
        <v>44988</v>
      </c>
      <c r="C121" s="148">
        <v>168.94</v>
      </c>
      <c r="D121" s="149">
        <f t="shared" si="2"/>
        <v>-3.0417814508723662E-2</v>
      </c>
      <c r="E121" s="148">
        <v>1255.92</v>
      </c>
      <c r="F121" s="149">
        <f t="shared" si="3"/>
        <v>2.3861737251864818E-2</v>
      </c>
    </row>
    <row r="122" spans="2:6">
      <c r="B122" s="147">
        <v>44995</v>
      </c>
      <c r="C122" s="148">
        <v>159.36000000000001</v>
      </c>
      <c r="D122" s="149">
        <f t="shared" si="2"/>
        <v>-5.670652302592627E-2</v>
      </c>
      <c r="E122" s="148">
        <v>1220.58</v>
      </c>
      <c r="F122" s="149">
        <f t="shared" si="3"/>
        <v>-2.8138734951270897E-2</v>
      </c>
    </row>
    <row r="123" spans="2:6">
      <c r="B123" s="147">
        <v>45002</v>
      </c>
      <c r="C123" s="148">
        <v>159.78</v>
      </c>
      <c r="D123" s="149">
        <f t="shared" si="2"/>
        <v>2.6355421686746201E-3</v>
      </c>
      <c r="E123" s="148">
        <v>1153</v>
      </c>
      <c r="F123" s="149">
        <f t="shared" si="3"/>
        <v>-5.5367120549247022E-2</v>
      </c>
    </row>
    <row r="124" spans="2:6">
      <c r="B124" s="147">
        <v>45009</v>
      </c>
      <c r="C124" s="148">
        <v>167.04</v>
      </c>
      <c r="D124" s="149">
        <f t="shared" si="2"/>
        <v>4.5437476530229011E-2</v>
      </c>
      <c r="E124" s="148">
        <v>1141.95</v>
      </c>
      <c r="F124" s="149">
        <f t="shared" si="3"/>
        <v>-9.5836947094535604E-3</v>
      </c>
    </row>
    <row r="125" spans="2:6">
      <c r="B125" s="147">
        <v>45016</v>
      </c>
      <c r="C125" s="148">
        <v>176</v>
      </c>
      <c r="D125" s="149">
        <f t="shared" si="2"/>
        <v>5.3639846743295069E-2</v>
      </c>
      <c r="E125" s="148">
        <v>1193.57</v>
      </c>
      <c r="F125" s="149">
        <f t="shared" si="3"/>
        <v>4.5203380183020177E-2</v>
      </c>
    </row>
    <row r="126" spans="2:6">
      <c r="B126" s="147">
        <v>45021</v>
      </c>
      <c r="C126" s="148">
        <v>168.55</v>
      </c>
      <c r="D126" s="149">
        <f t="shared" si="2"/>
        <v>-4.2329545454545391E-2</v>
      </c>
      <c r="E126" s="148">
        <v>1195.23</v>
      </c>
      <c r="F126" s="149">
        <f t="shared" si="3"/>
        <v>1.390785626314403E-3</v>
      </c>
    </row>
    <row r="127" spans="2:6">
      <c r="B127" s="147">
        <v>45030</v>
      </c>
      <c r="C127" s="148">
        <v>174.25</v>
      </c>
      <c r="D127" s="149">
        <f t="shared" si="2"/>
        <v>3.3817858202313783E-2</v>
      </c>
      <c r="E127" s="148">
        <v>1224.58</v>
      </c>
      <c r="F127" s="149">
        <f t="shared" si="3"/>
        <v>2.4555943207583402E-2</v>
      </c>
    </row>
    <row r="128" spans="2:6">
      <c r="B128" s="147">
        <v>45037</v>
      </c>
      <c r="C128" s="148">
        <v>164</v>
      </c>
      <c r="D128" s="149">
        <f t="shared" si="2"/>
        <v>-5.8823529411764705E-2</v>
      </c>
      <c r="E128" s="148">
        <v>1210.24</v>
      </c>
      <c r="F128" s="149">
        <f t="shared" si="3"/>
        <v>-1.1710137353214913E-2</v>
      </c>
    </row>
    <row r="129" spans="2:6">
      <c r="B129" s="147">
        <v>45044</v>
      </c>
      <c r="C129" s="148">
        <v>163</v>
      </c>
      <c r="D129" s="149">
        <f t="shared" si="2"/>
        <v>-6.0975609756097563E-3</v>
      </c>
      <c r="E129" s="148">
        <v>1226.44</v>
      </c>
      <c r="F129" s="149">
        <f t="shared" si="3"/>
        <v>1.3385774722369154E-2</v>
      </c>
    </row>
    <row r="130" spans="2:6">
      <c r="B130" s="147">
        <v>45051</v>
      </c>
      <c r="C130" s="148">
        <v>166.6</v>
      </c>
      <c r="D130" s="149">
        <f t="shared" si="2"/>
        <v>2.2085889570552113E-2</v>
      </c>
      <c r="E130" s="148">
        <v>1204.54</v>
      </c>
      <c r="F130" s="149">
        <f t="shared" si="3"/>
        <v>-1.785656045138783E-2</v>
      </c>
    </row>
    <row r="131" spans="2:6">
      <c r="B131" s="147">
        <v>45058</v>
      </c>
      <c r="C131" s="148">
        <v>170.8</v>
      </c>
      <c r="D131" s="149">
        <f t="shared" si="2"/>
        <v>2.521008403361355E-2</v>
      </c>
      <c r="E131" s="148">
        <v>1213.1099999999999</v>
      </c>
      <c r="F131" s="149">
        <f t="shared" si="3"/>
        <v>7.1147491988642437E-3</v>
      </c>
    </row>
    <row r="132" spans="2:6">
      <c r="B132" s="147">
        <v>45065</v>
      </c>
      <c r="C132" s="148">
        <v>172.55</v>
      </c>
      <c r="D132" s="149">
        <f t="shared" si="2"/>
        <v>1.0245901639344262E-2</v>
      </c>
      <c r="E132" s="148">
        <v>1225.4000000000001</v>
      </c>
      <c r="F132" s="149">
        <f t="shared" si="3"/>
        <v>1.0130985648457429E-2</v>
      </c>
    </row>
    <row r="133" spans="2:6">
      <c r="B133" s="147">
        <v>45072</v>
      </c>
      <c r="C133" s="148">
        <v>171.05</v>
      </c>
      <c r="D133" s="149">
        <f t="shared" si="2"/>
        <v>-8.6931324253839461E-3</v>
      </c>
      <c r="E133" s="148">
        <v>1215.57</v>
      </c>
      <c r="F133" s="149">
        <f t="shared" si="3"/>
        <v>-8.0218704096622767E-3</v>
      </c>
    </row>
    <row r="134" spans="2:6">
      <c r="B134" s="147">
        <v>45079</v>
      </c>
      <c r="C134" s="148">
        <v>180</v>
      </c>
      <c r="D134" s="149">
        <f t="shared" si="2"/>
        <v>5.2323881905875405E-2</v>
      </c>
      <c r="E134" s="148">
        <v>1226.27</v>
      </c>
      <c r="F134" s="149">
        <f t="shared" si="3"/>
        <v>8.8024548154364175E-3</v>
      </c>
    </row>
    <row r="135" spans="2:6">
      <c r="B135" s="147">
        <v>45086</v>
      </c>
      <c r="C135" s="148">
        <v>168.1</v>
      </c>
      <c r="D135" s="149">
        <f t="shared" si="2"/>
        <v>-6.6111111111111148E-2</v>
      </c>
      <c r="E135" s="148">
        <v>1231.56</v>
      </c>
      <c r="F135" s="149">
        <f t="shared" si="3"/>
        <v>4.3138949823448049E-3</v>
      </c>
    </row>
    <row r="136" spans="2:6">
      <c r="B136" s="147">
        <v>45093</v>
      </c>
      <c r="C136" s="148">
        <v>179.25</v>
      </c>
      <c r="D136" s="149">
        <f t="shared" si="2"/>
        <v>6.6329565734681767E-2</v>
      </c>
      <c r="E136" s="148">
        <v>1246.02</v>
      </c>
      <c r="F136" s="149">
        <f t="shared" si="3"/>
        <v>1.1741206274968363E-2</v>
      </c>
    </row>
    <row r="137" spans="2:6">
      <c r="B137" s="147">
        <v>45100</v>
      </c>
      <c r="C137" s="148">
        <v>173.55</v>
      </c>
      <c r="D137" s="149">
        <f t="shared" si="2"/>
        <v>-3.1799163179916254E-2</v>
      </c>
      <c r="E137" s="148">
        <v>1193.99</v>
      </c>
      <c r="F137" s="149">
        <f t="shared" si="3"/>
        <v>-4.1756954141988066E-2</v>
      </c>
    </row>
    <row r="138" spans="2:6">
      <c r="B138" s="147">
        <v>45107</v>
      </c>
      <c r="C138" s="148">
        <v>172.5</v>
      </c>
      <c r="D138" s="149">
        <f t="shared" si="2"/>
        <v>-6.0501296456353286E-3</v>
      </c>
      <c r="E138" s="148">
        <v>1214.1199999999999</v>
      </c>
      <c r="F138" s="149">
        <f t="shared" si="3"/>
        <v>1.6859437683732596E-2</v>
      </c>
    </row>
    <row r="139" spans="2:6">
      <c r="B139" s="147">
        <v>45114</v>
      </c>
      <c r="C139" s="148">
        <v>158.6</v>
      </c>
      <c r="D139" s="149">
        <f t="shared" si="2"/>
        <v>-8.0579710144927569E-2</v>
      </c>
      <c r="E139" s="148">
        <v>1198.96</v>
      </c>
      <c r="F139" s="149">
        <f t="shared" si="3"/>
        <v>-1.2486409910058196E-2</v>
      </c>
    </row>
    <row r="140" spans="2:6">
      <c r="B140" s="147">
        <v>45121</v>
      </c>
      <c r="C140" s="148">
        <v>165</v>
      </c>
      <c r="D140" s="149">
        <f t="shared" si="2"/>
        <v>4.0353089533417437E-2</v>
      </c>
      <c r="E140" s="148">
        <v>1201.04</v>
      </c>
      <c r="F140" s="149">
        <f t="shared" si="3"/>
        <v>1.7348368586107353E-3</v>
      </c>
    </row>
    <row r="141" spans="2:6">
      <c r="B141" s="147">
        <v>45128</v>
      </c>
      <c r="C141" s="148">
        <v>162.85</v>
      </c>
      <c r="D141" s="149">
        <f t="shared" si="2"/>
        <v>-1.3030303030303064E-2</v>
      </c>
      <c r="E141" s="148">
        <v>1230.79</v>
      </c>
      <c r="F141" s="149">
        <f t="shared" si="3"/>
        <v>2.4770199160727372E-2</v>
      </c>
    </row>
    <row r="142" spans="2:6">
      <c r="B142" s="147">
        <v>45135</v>
      </c>
      <c r="C142" s="148">
        <v>156</v>
      </c>
      <c r="D142" s="149">
        <f t="shared" si="2"/>
        <v>-4.2063248388087164E-2</v>
      </c>
      <c r="E142" s="148">
        <v>1234.57</v>
      </c>
      <c r="F142" s="149">
        <f t="shared" si="3"/>
        <v>3.0711981735307998E-3</v>
      </c>
    </row>
    <row r="143" spans="2:6">
      <c r="B143" s="147">
        <v>45142</v>
      </c>
      <c r="C143" s="148">
        <v>152.5</v>
      </c>
      <c r="D143" s="149">
        <f t="shared" si="2"/>
        <v>-2.2435897435897436E-2</v>
      </c>
      <c r="E143" s="148">
        <v>1242.7</v>
      </c>
      <c r="F143" s="149">
        <f t="shared" si="3"/>
        <v>6.58528880500912E-3</v>
      </c>
    </row>
    <row r="144" spans="2:6">
      <c r="B144" s="147">
        <v>45149</v>
      </c>
      <c r="C144" s="148">
        <v>153</v>
      </c>
      <c r="D144" s="149">
        <f t="shared" si="2"/>
        <v>3.2786885245901639E-3</v>
      </c>
      <c r="E144" s="148">
        <v>1260.92</v>
      </c>
      <c r="F144" s="149">
        <f t="shared" si="3"/>
        <v>1.4661623883479542E-2</v>
      </c>
    </row>
    <row r="145" spans="2:6">
      <c r="B145" s="147">
        <v>45156</v>
      </c>
      <c r="C145" s="148">
        <v>145.30000000000001</v>
      </c>
      <c r="D145" s="149">
        <f t="shared" si="2"/>
        <v>-5.032679738562084E-2</v>
      </c>
      <c r="E145" s="148">
        <v>1237.48</v>
      </c>
      <c r="F145" s="149">
        <f t="shared" si="3"/>
        <v>-1.8589601243536508E-2</v>
      </c>
    </row>
    <row r="146" spans="2:6">
      <c r="B146" s="147">
        <v>45163</v>
      </c>
      <c r="C146" s="148">
        <v>137.85</v>
      </c>
      <c r="D146" s="149">
        <f t="shared" si="2"/>
        <v>-5.1273227804542437E-2</v>
      </c>
      <c r="E146" s="148">
        <v>1231.94</v>
      </c>
      <c r="F146" s="149">
        <f t="shared" si="3"/>
        <v>-4.4768400297378252E-3</v>
      </c>
    </row>
    <row r="147" spans="2:6">
      <c r="B147" s="147">
        <v>45170</v>
      </c>
      <c r="C147" s="148">
        <v>142.30000000000001</v>
      </c>
      <c r="D147" s="149">
        <f t="shared" si="2"/>
        <v>3.2281465360899653E-2</v>
      </c>
      <c r="E147" s="148">
        <v>1265.81</v>
      </c>
      <c r="F147" s="149">
        <f t="shared" si="3"/>
        <v>2.7493222072503442E-2</v>
      </c>
    </row>
    <row r="148" spans="2:6">
      <c r="B148" s="147">
        <v>45177</v>
      </c>
      <c r="C148" s="148">
        <v>134.25</v>
      </c>
      <c r="D148" s="149">
        <f t="shared" si="2"/>
        <v>-5.6570625439213006E-2</v>
      </c>
      <c r="E148" s="148">
        <v>1266.3399999999999</v>
      </c>
      <c r="F148" s="149">
        <f t="shared" si="3"/>
        <v>4.187042289126905E-4</v>
      </c>
    </row>
    <row r="149" spans="2:6">
      <c r="B149" s="147">
        <v>45184</v>
      </c>
      <c r="C149" s="148">
        <v>136.30000000000001</v>
      </c>
      <c r="D149" s="149">
        <f t="shared" si="2"/>
        <v>1.5270018621974014E-2</v>
      </c>
      <c r="E149" s="148">
        <v>1300.98</v>
      </c>
      <c r="F149" s="149">
        <f t="shared" si="3"/>
        <v>2.7354422982769321E-2</v>
      </c>
    </row>
    <row r="150" spans="2:6">
      <c r="B150" s="147">
        <v>45191</v>
      </c>
      <c r="C150" s="148">
        <v>130.75</v>
      </c>
      <c r="D150" s="149">
        <f t="shared" si="2"/>
        <v>-4.0719002201027227E-2</v>
      </c>
      <c r="E150" s="148">
        <v>1299.6600000000001</v>
      </c>
      <c r="F150" s="149">
        <f t="shared" si="3"/>
        <v>-1.0146197481897771E-3</v>
      </c>
    </row>
    <row r="151" spans="2:6">
      <c r="B151" s="147">
        <v>45198</v>
      </c>
      <c r="C151" s="148">
        <v>122.15</v>
      </c>
      <c r="D151" s="149">
        <f t="shared" si="2"/>
        <v>-6.5774378585086002E-2</v>
      </c>
      <c r="E151" s="148">
        <v>1290.99</v>
      </c>
      <c r="F151" s="149">
        <f t="shared" si="3"/>
        <v>-6.6709754858963665E-3</v>
      </c>
    </row>
    <row r="152" spans="2:6">
      <c r="B152" s="147">
        <v>45205</v>
      </c>
      <c r="C152" s="148">
        <v>120.85</v>
      </c>
      <c r="D152" s="149">
        <f t="shared" si="2"/>
        <v>-1.0642652476463458E-2</v>
      </c>
      <c r="E152" s="148">
        <v>1251.27</v>
      </c>
      <c r="F152" s="149">
        <f t="shared" si="3"/>
        <v>-3.0767085724908813E-2</v>
      </c>
    </row>
    <row r="153" spans="2:6">
      <c r="B153" s="147">
        <v>45212</v>
      </c>
      <c r="C153" s="148">
        <v>111.6</v>
      </c>
      <c r="D153" s="149">
        <f t="shared" si="2"/>
        <v>-7.6541166735622682E-2</v>
      </c>
      <c r="E153" s="148">
        <v>1310.84</v>
      </c>
      <c r="F153" s="149">
        <f t="shared" si="3"/>
        <v>4.7607630647262332E-2</v>
      </c>
    </row>
    <row r="154" spans="2:6">
      <c r="B154" s="147">
        <v>45219</v>
      </c>
      <c r="C154" s="148">
        <v>85.5</v>
      </c>
      <c r="D154" s="149">
        <f t="shared" si="2"/>
        <v>-0.23387096774193544</v>
      </c>
      <c r="E154" s="148">
        <v>1272.1400000000001</v>
      </c>
      <c r="F154" s="149">
        <f t="shared" si="3"/>
        <v>-2.9523053919623923E-2</v>
      </c>
    </row>
    <row r="155" spans="2:6">
      <c r="B155" s="147">
        <v>45226</v>
      </c>
      <c r="C155" s="148">
        <v>86</v>
      </c>
      <c r="D155" s="149">
        <f t="shared" si="2"/>
        <v>5.8479532163742687E-3</v>
      </c>
      <c r="E155" s="148">
        <v>1263.81</v>
      </c>
      <c r="F155" s="149">
        <f t="shared" si="3"/>
        <v>-6.5480214441807931E-3</v>
      </c>
    </row>
    <row r="156" spans="2:6">
      <c r="B156" s="147">
        <v>45233</v>
      </c>
      <c r="C156" s="148">
        <v>92.44</v>
      </c>
      <c r="D156" s="149">
        <f t="shared" si="2"/>
        <v>7.4883720930232531E-2</v>
      </c>
      <c r="E156" s="148">
        <v>1284.9100000000001</v>
      </c>
      <c r="F156" s="149">
        <f t="shared" si="3"/>
        <v>1.6695547590223323E-2</v>
      </c>
    </row>
    <row r="157" spans="2:6">
      <c r="B157" s="147">
        <v>45240</v>
      </c>
      <c r="C157" s="148">
        <v>95.72</v>
      </c>
      <c r="D157" s="149">
        <f t="shared" si="2"/>
        <v>3.5482475118996118E-2</v>
      </c>
      <c r="E157" s="148">
        <v>1283.07</v>
      </c>
      <c r="F157" s="149">
        <f t="shared" si="3"/>
        <v>-1.4320069109899879E-3</v>
      </c>
    </row>
    <row r="158" spans="2:6">
      <c r="B158" s="147">
        <v>45247</v>
      </c>
      <c r="C158" s="148">
        <v>100.5</v>
      </c>
      <c r="D158" s="149">
        <f t="shared" si="2"/>
        <v>4.9937317175094038E-2</v>
      </c>
      <c r="E158" s="148">
        <v>1296.28</v>
      </c>
      <c r="F158" s="149">
        <f t="shared" si="3"/>
        <v>1.0295619101062324E-2</v>
      </c>
    </row>
    <row r="159" spans="2:6">
      <c r="B159" s="147">
        <v>45254</v>
      </c>
      <c r="C159" s="148">
        <v>101.4</v>
      </c>
      <c r="D159" s="149">
        <f t="shared" si="2"/>
        <v>8.955223880597071E-3</v>
      </c>
      <c r="E159" s="148">
        <v>1315.22</v>
      </c>
      <c r="F159" s="149">
        <f t="shared" si="3"/>
        <v>1.4611040824513265E-2</v>
      </c>
    </row>
    <row r="160" spans="2:6">
      <c r="B160" s="147">
        <v>45261</v>
      </c>
      <c r="C160" s="148">
        <v>110</v>
      </c>
      <c r="D160" s="149">
        <f t="shared" si="2"/>
        <v>8.4812623274161669E-2</v>
      </c>
      <c r="E160" s="148">
        <v>1304.3699999999999</v>
      </c>
      <c r="F160" s="149">
        <f t="shared" si="3"/>
        <v>-8.2495704140753152E-3</v>
      </c>
    </row>
    <row r="161" spans="2:6">
      <c r="B161" s="147">
        <v>45268</v>
      </c>
      <c r="C161" s="148">
        <v>119</v>
      </c>
      <c r="D161" s="149">
        <f t="shared" si="2"/>
        <v>8.1818181818181818E-2</v>
      </c>
      <c r="E161" s="148">
        <v>1294.33</v>
      </c>
      <c r="F161" s="149">
        <f t="shared" si="3"/>
        <v>-7.6972024808911309E-3</v>
      </c>
    </row>
    <row r="162" spans="2:6">
      <c r="B162" s="147">
        <v>45275</v>
      </c>
      <c r="C162" s="148">
        <v>122.15</v>
      </c>
      <c r="D162" s="149">
        <f t="shared" si="2"/>
        <v>2.6470588235294166E-2</v>
      </c>
      <c r="E162" s="148">
        <v>1296.42</v>
      </c>
      <c r="F162" s="149">
        <f t="shared" si="3"/>
        <v>1.6147350366600061E-3</v>
      </c>
    </row>
    <row r="163" spans="2:6">
      <c r="B163" s="147">
        <v>45282</v>
      </c>
      <c r="C163" s="148">
        <v>118.95</v>
      </c>
      <c r="D163" s="149">
        <f t="shared" si="2"/>
        <v>-2.6197298403602149E-2</v>
      </c>
      <c r="E163" s="148">
        <v>1295.42</v>
      </c>
      <c r="F163" s="149">
        <f t="shared" si="3"/>
        <v>-7.713549621264713E-4</v>
      </c>
    </row>
    <row r="164" spans="2:6">
      <c r="B164" s="147">
        <v>45289</v>
      </c>
      <c r="C164" s="148">
        <v>123.45</v>
      </c>
      <c r="D164" s="149">
        <f t="shared" si="2"/>
        <v>3.7831021437578813E-2</v>
      </c>
      <c r="E164" s="148">
        <v>1306.6099999999999</v>
      </c>
      <c r="F164" s="149">
        <f t="shared" si="3"/>
        <v>8.6381250868442869E-3</v>
      </c>
    </row>
    <row r="165" spans="2:6">
      <c r="B165" s="147">
        <v>45296</v>
      </c>
      <c r="C165" s="148">
        <v>115.55</v>
      </c>
      <c r="D165" s="149">
        <f t="shared" si="2"/>
        <v>-6.3993519643580438E-2</v>
      </c>
      <c r="E165" s="148">
        <v>1317.77</v>
      </c>
      <c r="F165" s="149">
        <f t="shared" si="3"/>
        <v>8.5411867351390877E-3</v>
      </c>
    </row>
    <row r="166" spans="2:6">
      <c r="B166" s="147">
        <v>45303</v>
      </c>
      <c r="C166" s="148">
        <v>112.95</v>
      </c>
      <c r="D166" s="149">
        <f t="shared" si="2"/>
        <v>-2.250108178277797E-2</v>
      </c>
      <c r="E166" s="148">
        <v>1298.75</v>
      </c>
      <c r="F166" s="149">
        <f t="shared" si="3"/>
        <v>-1.4433474733830625E-2</v>
      </c>
    </row>
    <row r="167" spans="2:6">
      <c r="B167" s="147">
        <v>45310</v>
      </c>
      <c r="C167" s="148">
        <v>100.3</v>
      </c>
      <c r="D167" s="149">
        <f t="shared" si="2"/>
        <v>-0.11199645861000447</v>
      </c>
      <c r="E167" s="148">
        <v>1278.01</v>
      </c>
      <c r="F167" s="149">
        <f t="shared" si="3"/>
        <v>-1.5969201154956696E-2</v>
      </c>
    </row>
    <row r="168" spans="2:6">
      <c r="B168" s="147">
        <v>45317</v>
      </c>
      <c r="C168" s="148">
        <v>108.45</v>
      </c>
      <c r="D168" s="149">
        <f t="shared" si="2"/>
        <v>8.1256231306081811E-2</v>
      </c>
      <c r="E168" s="148">
        <v>1293.52</v>
      </c>
      <c r="F168" s="149">
        <f t="shared" si="3"/>
        <v>1.2136055273432908E-2</v>
      </c>
    </row>
    <row r="169" spans="2:6">
      <c r="B169" s="147">
        <v>45324</v>
      </c>
      <c r="C169" s="148">
        <v>103.65</v>
      </c>
      <c r="D169" s="149">
        <f t="shared" ref="D169:D232" si="4">(C169-C168)/C168</f>
        <v>-4.4260027662517264E-2</v>
      </c>
      <c r="E169" s="148">
        <v>1271.69</v>
      </c>
      <c r="F169" s="149">
        <f t="shared" ref="F169:F232" si="5">(E169-E168)/E168</f>
        <v>-1.6876430205949602E-2</v>
      </c>
    </row>
    <row r="170" spans="2:6">
      <c r="B170" s="147">
        <v>45331</v>
      </c>
      <c r="C170" s="148">
        <v>103.75</v>
      </c>
      <c r="D170" s="149">
        <f t="shared" si="4"/>
        <v>9.6478533526284907E-4</v>
      </c>
      <c r="E170" s="148">
        <v>1240.49</v>
      </c>
      <c r="F170" s="149">
        <f t="shared" si="5"/>
        <v>-2.4534281153425791E-2</v>
      </c>
    </row>
    <row r="171" spans="2:6">
      <c r="B171" s="147">
        <v>45338</v>
      </c>
      <c r="C171" s="148">
        <v>132.30000000000001</v>
      </c>
      <c r="D171" s="149">
        <f t="shared" si="4"/>
        <v>0.27518072289156637</v>
      </c>
      <c r="E171" s="148">
        <v>1264.02</v>
      </c>
      <c r="F171" s="149">
        <f t="shared" si="5"/>
        <v>1.8968310909398683E-2</v>
      </c>
    </row>
    <row r="172" spans="2:6">
      <c r="B172" s="147">
        <v>45345</v>
      </c>
      <c r="C172" s="148">
        <v>146.15</v>
      </c>
      <c r="D172" s="149">
        <f t="shared" si="4"/>
        <v>0.1046863189720332</v>
      </c>
      <c r="E172" s="148">
        <v>1260.8</v>
      </c>
      <c r="F172" s="149">
        <f t="shared" si="5"/>
        <v>-2.5474280470245939E-3</v>
      </c>
    </row>
    <row r="173" spans="2:6">
      <c r="B173" s="147">
        <v>45352</v>
      </c>
      <c r="C173" s="148">
        <v>132.44999999999999</v>
      </c>
      <c r="D173" s="149">
        <f t="shared" si="4"/>
        <v>-9.373930892918246E-2</v>
      </c>
      <c r="E173" s="148">
        <v>1275.1400000000001</v>
      </c>
      <c r="F173" s="149">
        <f t="shared" si="5"/>
        <v>1.1373730964467121E-2</v>
      </c>
    </row>
    <row r="174" spans="2:6">
      <c r="B174" s="147">
        <v>45359</v>
      </c>
      <c r="C174" s="148">
        <v>150.69999999999999</v>
      </c>
      <c r="D174" s="149">
        <f t="shared" si="4"/>
        <v>0.13778784446961118</v>
      </c>
      <c r="E174" s="148">
        <v>1279.23</v>
      </c>
      <c r="F174" s="149">
        <f t="shared" si="5"/>
        <v>3.2074909421709913E-3</v>
      </c>
    </row>
    <row r="175" spans="2:6">
      <c r="B175" s="147">
        <v>45366</v>
      </c>
      <c r="C175" s="148">
        <v>159.55000000000001</v>
      </c>
      <c r="D175" s="149">
        <f t="shared" si="4"/>
        <v>5.8725945587259611E-2</v>
      </c>
      <c r="E175" s="148">
        <v>1293.0899999999999</v>
      </c>
      <c r="F175" s="149">
        <f t="shared" si="5"/>
        <v>1.0834642714758019E-2</v>
      </c>
    </row>
    <row r="176" spans="2:6">
      <c r="B176" s="147">
        <v>45373</v>
      </c>
      <c r="C176" s="148">
        <v>168.8</v>
      </c>
      <c r="D176" s="149">
        <f t="shared" si="4"/>
        <v>5.7975556251958632E-2</v>
      </c>
      <c r="E176" s="148">
        <v>1319.33</v>
      </c>
      <c r="F176" s="149">
        <f t="shared" si="5"/>
        <v>2.0292477708434842E-2</v>
      </c>
    </row>
    <row r="177" spans="2:6">
      <c r="B177" s="147">
        <v>45378</v>
      </c>
      <c r="C177" s="148">
        <v>169.55</v>
      </c>
      <c r="D177" s="149">
        <f t="shared" si="4"/>
        <v>4.443127962085308E-3</v>
      </c>
      <c r="E177" s="148">
        <v>1328.15</v>
      </c>
      <c r="F177" s="149">
        <f t="shared" si="5"/>
        <v>6.6852114330760038E-3</v>
      </c>
    </row>
    <row r="178" spans="2:6">
      <c r="B178" s="147">
        <v>45387</v>
      </c>
      <c r="C178" s="148">
        <v>157.4</v>
      </c>
      <c r="D178" s="149">
        <f t="shared" si="4"/>
        <v>-7.166027720436452E-2</v>
      </c>
      <c r="E178" s="148">
        <v>1351.5</v>
      </c>
      <c r="F178" s="149">
        <f t="shared" si="5"/>
        <v>1.7580845537025117E-2</v>
      </c>
    </row>
    <row r="179" spans="2:6">
      <c r="B179" s="147">
        <v>45394</v>
      </c>
      <c r="C179" s="148">
        <v>147.9</v>
      </c>
      <c r="D179" s="149">
        <f t="shared" si="4"/>
        <v>-6.0355781448538752E-2</v>
      </c>
      <c r="E179" s="148">
        <v>1376.17</v>
      </c>
      <c r="F179" s="149">
        <f t="shared" si="5"/>
        <v>1.8253792082870937E-2</v>
      </c>
    </row>
    <row r="180" spans="2:6">
      <c r="B180" s="147">
        <v>45401</v>
      </c>
      <c r="C180" s="148">
        <v>149.6</v>
      </c>
      <c r="D180" s="149">
        <f t="shared" si="4"/>
        <v>1.1494252873563142E-2</v>
      </c>
      <c r="E180" s="148">
        <v>1341.22</v>
      </c>
      <c r="F180" s="149">
        <f t="shared" si="5"/>
        <v>-2.5396571644491626E-2</v>
      </c>
    </row>
    <row r="181" spans="2:6">
      <c r="B181" s="147">
        <v>45408</v>
      </c>
      <c r="C181" s="148">
        <v>139.5</v>
      </c>
      <c r="D181" s="149">
        <f t="shared" si="4"/>
        <v>-6.7513368983957184E-2</v>
      </c>
      <c r="E181" s="148">
        <v>1365.93</v>
      </c>
      <c r="F181" s="149">
        <f t="shared" si="5"/>
        <v>1.8423524850509264E-2</v>
      </c>
    </row>
    <row r="182" spans="2:6">
      <c r="B182" s="147">
        <v>45415</v>
      </c>
      <c r="C182" s="148">
        <v>142.69999999999999</v>
      </c>
      <c r="D182" s="149">
        <f t="shared" si="4"/>
        <v>2.2939068100358343E-2</v>
      </c>
      <c r="E182" s="148">
        <v>1371.3</v>
      </c>
      <c r="F182" s="149">
        <f t="shared" si="5"/>
        <v>3.9313874063823849E-3</v>
      </c>
    </row>
    <row r="183" spans="2:6">
      <c r="B183" s="147">
        <v>45422</v>
      </c>
      <c r="C183" s="148">
        <v>141.4</v>
      </c>
      <c r="D183" s="149">
        <f t="shared" si="4"/>
        <v>-9.1100210231253188E-3</v>
      </c>
      <c r="E183" s="148">
        <v>1418.73</v>
      </c>
      <c r="F183" s="149">
        <f t="shared" si="5"/>
        <v>3.4587617589149029E-2</v>
      </c>
    </row>
    <row r="184" spans="2:6">
      <c r="B184" s="147">
        <v>45428</v>
      </c>
      <c r="C184" s="148">
        <v>143.9</v>
      </c>
      <c r="D184" s="149">
        <f t="shared" si="4"/>
        <v>1.768033946251768E-2</v>
      </c>
      <c r="E184" s="148">
        <v>1416.42</v>
      </c>
      <c r="F184" s="149">
        <f t="shared" si="5"/>
        <v>-1.6282167854348223E-3</v>
      </c>
    </row>
    <row r="185" spans="2:6">
      <c r="B185" s="147">
        <v>45436</v>
      </c>
      <c r="C185" s="148">
        <v>135.30000000000001</v>
      </c>
      <c r="D185" s="149">
        <f t="shared" si="4"/>
        <v>-5.9763724808895025E-2</v>
      </c>
      <c r="E185" s="148">
        <v>1423.46</v>
      </c>
      <c r="F185" s="149">
        <f t="shared" si="5"/>
        <v>4.9702771776732628E-3</v>
      </c>
    </row>
    <row r="186" spans="2:6">
      <c r="B186" s="147">
        <v>45443</v>
      </c>
      <c r="C186" s="148">
        <v>137.80000000000001</v>
      </c>
      <c r="D186" s="149">
        <f t="shared" si="4"/>
        <v>1.8477457501847743E-2</v>
      </c>
      <c r="E186" s="148">
        <v>1440.53</v>
      </c>
      <c r="F186" s="149">
        <f t="shared" si="5"/>
        <v>1.1991907043401244E-2</v>
      </c>
    </row>
    <row r="187" spans="2:6">
      <c r="B187" s="147">
        <v>45450</v>
      </c>
      <c r="C187" s="148">
        <v>140.30000000000001</v>
      </c>
      <c r="D187" s="149">
        <f t="shared" si="4"/>
        <v>1.8142235123367198E-2</v>
      </c>
      <c r="E187" s="148">
        <v>1423.28</v>
      </c>
      <c r="F187" s="149">
        <f t="shared" si="5"/>
        <v>-1.1974759289983547E-2</v>
      </c>
    </row>
    <row r="188" spans="2:6">
      <c r="B188" s="147">
        <v>45457</v>
      </c>
      <c r="C188" s="148">
        <v>133.9</v>
      </c>
      <c r="D188" s="149">
        <f t="shared" si="4"/>
        <v>-4.561653599429797E-2</v>
      </c>
      <c r="E188" s="148">
        <v>1391.56</v>
      </c>
      <c r="F188" s="149">
        <f t="shared" si="5"/>
        <v>-2.2286549378899463E-2</v>
      </c>
    </row>
    <row r="189" spans="2:6">
      <c r="B189" s="147">
        <v>45464</v>
      </c>
      <c r="C189" s="148">
        <v>137.4</v>
      </c>
      <c r="D189" s="149">
        <f t="shared" si="4"/>
        <v>2.6138909634055265E-2</v>
      </c>
      <c r="E189" s="148">
        <v>1406.98</v>
      </c>
      <c r="F189" s="149">
        <f t="shared" si="5"/>
        <v>1.1081088849923879E-2</v>
      </c>
    </row>
    <row r="190" spans="2:6">
      <c r="B190" s="147">
        <v>45471</v>
      </c>
      <c r="C190" s="148">
        <v>127.4</v>
      </c>
      <c r="D190" s="149">
        <f t="shared" si="4"/>
        <v>-7.2780203784570591E-2</v>
      </c>
      <c r="E190" s="148">
        <v>1422.35</v>
      </c>
      <c r="F190" s="149">
        <f t="shared" si="5"/>
        <v>1.0924106952479702E-2</v>
      </c>
    </row>
    <row r="191" spans="2:6">
      <c r="B191" s="147">
        <v>45478</v>
      </c>
      <c r="C191" s="148">
        <v>131.80000000000001</v>
      </c>
      <c r="D191" s="149">
        <f t="shared" si="4"/>
        <v>3.4536891679748868E-2</v>
      </c>
      <c r="E191" s="148">
        <v>1418.89</v>
      </c>
      <c r="F191" s="149">
        <f t="shared" si="5"/>
        <v>-2.4325939466374727E-3</v>
      </c>
    </row>
    <row r="192" spans="2:6">
      <c r="B192" s="147">
        <v>45485</v>
      </c>
      <c r="C192" s="148">
        <v>149.30000000000001</v>
      </c>
      <c r="D192" s="149">
        <f t="shared" si="4"/>
        <v>0.13277693474962063</v>
      </c>
      <c r="E192" s="148">
        <v>1434.43</v>
      </c>
      <c r="F192" s="149">
        <f t="shared" si="5"/>
        <v>1.0952223216739819E-2</v>
      </c>
    </row>
    <row r="193" spans="2:6">
      <c r="B193" s="147">
        <v>45492</v>
      </c>
      <c r="C193" s="148">
        <v>168</v>
      </c>
      <c r="D193" s="149">
        <f t="shared" si="4"/>
        <v>0.12525117213663756</v>
      </c>
      <c r="E193" s="148">
        <v>1443.02</v>
      </c>
      <c r="F193" s="149">
        <f t="shared" si="5"/>
        <v>5.9884414018111154E-3</v>
      </c>
    </row>
    <row r="194" spans="2:6">
      <c r="B194" s="147">
        <v>45499</v>
      </c>
      <c r="C194" s="148">
        <v>174.7</v>
      </c>
      <c r="D194" s="149">
        <f t="shared" si="4"/>
        <v>3.9880952380952316E-2</v>
      </c>
      <c r="E194" s="148">
        <v>1434.12</v>
      </c>
      <c r="F194" s="149">
        <f t="shared" si="5"/>
        <v>-6.1676206843980621E-3</v>
      </c>
    </row>
    <row r="195" spans="2:6">
      <c r="B195" s="147">
        <v>45506</v>
      </c>
      <c r="C195" s="148">
        <v>164.2</v>
      </c>
      <c r="D195" s="149">
        <f t="shared" si="4"/>
        <v>-6.0103033772180889E-2</v>
      </c>
      <c r="E195" s="148">
        <v>1408.88</v>
      </c>
      <c r="F195" s="149">
        <f t="shared" si="5"/>
        <v>-1.7599642986639741E-2</v>
      </c>
    </row>
    <row r="196" spans="2:6">
      <c r="B196" s="147">
        <v>45513</v>
      </c>
      <c r="C196" s="148">
        <v>158</v>
      </c>
      <c r="D196" s="149">
        <f t="shared" si="4"/>
        <v>-3.7758830694275207E-2</v>
      </c>
      <c r="E196" s="148">
        <v>1412.91</v>
      </c>
      <c r="F196" s="149">
        <f t="shared" si="5"/>
        <v>2.8604281415024503E-3</v>
      </c>
    </row>
    <row r="197" spans="2:6">
      <c r="B197" s="147">
        <v>45520</v>
      </c>
      <c r="C197" s="148">
        <v>154.6</v>
      </c>
      <c r="D197" s="149">
        <f t="shared" si="4"/>
        <v>-2.1518987341772187E-2</v>
      </c>
      <c r="E197" s="148">
        <v>1442.82</v>
      </c>
      <c r="F197" s="149">
        <f t="shared" si="5"/>
        <v>2.1169076586619002E-2</v>
      </c>
    </row>
    <row r="198" spans="2:6">
      <c r="B198" s="147">
        <v>45527</v>
      </c>
      <c r="C198" s="148">
        <v>158.69999999999999</v>
      </c>
      <c r="D198" s="149">
        <f t="shared" si="4"/>
        <v>2.6520051746442397E-2</v>
      </c>
      <c r="E198" s="148">
        <v>1434.48</v>
      </c>
      <c r="F198" s="149">
        <f t="shared" si="5"/>
        <v>-5.7803468208091919E-3</v>
      </c>
    </row>
    <row r="199" spans="2:6">
      <c r="B199" s="147">
        <v>45534</v>
      </c>
      <c r="C199" s="148">
        <v>164.1</v>
      </c>
      <c r="D199" s="149">
        <f t="shared" si="4"/>
        <v>3.4026465028355428E-2</v>
      </c>
      <c r="E199" s="148">
        <v>1439.44</v>
      </c>
      <c r="F199" s="149">
        <f t="shared" si="5"/>
        <v>3.4576989571134045E-3</v>
      </c>
    </row>
    <row r="200" spans="2:6">
      <c r="B200" s="147">
        <v>45541</v>
      </c>
      <c r="C200" s="148">
        <v>152.1</v>
      </c>
      <c r="D200" s="149">
        <f t="shared" si="4"/>
        <v>-7.3126142595978064E-2</v>
      </c>
      <c r="E200" s="148">
        <v>1385.94</v>
      </c>
      <c r="F200" s="149">
        <f t="shared" si="5"/>
        <v>-3.7167231701217142E-2</v>
      </c>
    </row>
    <row r="201" spans="2:6">
      <c r="B201" s="147">
        <v>45548</v>
      </c>
      <c r="C201" s="148">
        <v>158.4</v>
      </c>
      <c r="D201" s="149">
        <f t="shared" si="4"/>
        <v>4.1420118343195346E-2</v>
      </c>
      <c r="E201" s="148">
        <v>1407.41</v>
      </c>
      <c r="F201" s="149">
        <f t="shared" si="5"/>
        <v>1.549129110928325E-2</v>
      </c>
    </row>
    <row r="202" spans="2:6">
      <c r="B202" s="147">
        <v>45555</v>
      </c>
      <c r="C202" s="148">
        <v>153.80000000000001</v>
      </c>
      <c r="D202" s="149">
        <f t="shared" si="4"/>
        <v>-2.9040404040404002E-2</v>
      </c>
      <c r="E202" s="148">
        <v>1407.43</v>
      </c>
      <c r="F202" s="149">
        <f t="shared" si="5"/>
        <v>1.4210500138539451E-5</v>
      </c>
    </row>
    <row r="203" spans="2:6">
      <c r="B203" s="147">
        <v>45562</v>
      </c>
      <c r="C203" s="148">
        <v>156.19999999999999</v>
      </c>
      <c r="D203" s="149">
        <f t="shared" si="4"/>
        <v>1.5604681404421178E-2</v>
      </c>
      <c r="E203" s="148">
        <v>1406.93</v>
      </c>
      <c r="F203" s="149">
        <f t="shared" si="5"/>
        <v>-3.5525745507769481E-4</v>
      </c>
    </row>
    <row r="204" spans="2:6">
      <c r="B204" s="147">
        <v>45569</v>
      </c>
      <c r="C204" s="148">
        <v>151.4</v>
      </c>
      <c r="D204" s="149">
        <f t="shared" si="4"/>
        <v>-3.072983354673485E-2</v>
      </c>
      <c r="E204" s="148">
        <v>1449.45</v>
      </c>
      <c r="F204" s="149">
        <f t="shared" si="5"/>
        <v>3.0221830510402066E-2</v>
      </c>
    </row>
    <row r="205" spans="2:6">
      <c r="B205" s="147">
        <v>45576</v>
      </c>
      <c r="C205" s="148">
        <v>150</v>
      </c>
      <c r="D205" s="149">
        <f t="shared" si="4"/>
        <v>-9.2470277410832604E-3</v>
      </c>
      <c r="E205" s="148">
        <v>1449.34</v>
      </c>
      <c r="F205" s="149">
        <f t="shared" si="5"/>
        <v>-7.589085515204204E-5</v>
      </c>
    </row>
    <row r="206" spans="2:6">
      <c r="B206" s="147">
        <v>45583</v>
      </c>
      <c r="C206" s="148">
        <v>148.9</v>
      </c>
      <c r="D206" s="149">
        <f t="shared" si="4"/>
        <v>-7.333333333333295E-3</v>
      </c>
      <c r="E206" s="148">
        <v>1433.62</v>
      </c>
      <c r="F206" s="149">
        <f t="shared" si="5"/>
        <v>-1.0846316254295078E-2</v>
      </c>
    </row>
    <row r="207" spans="2:6">
      <c r="B207" s="147">
        <v>45590</v>
      </c>
      <c r="C207" s="148">
        <v>160.1</v>
      </c>
      <c r="D207" s="149">
        <f t="shared" si="4"/>
        <v>7.5218267293485477E-2</v>
      </c>
      <c r="E207" s="148">
        <v>1461.21</v>
      </c>
      <c r="F207" s="149">
        <f t="shared" si="5"/>
        <v>1.9244988211660097E-2</v>
      </c>
    </row>
    <row r="208" spans="2:6">
      <c r="B208" s="147">
        <v>45597</v>
      </c>
      <c r="C208" s="148">
        <v>156.30000000000001</v>
      </c>
      <c r="D208" s="149">
        <f t="shared" si="4"/>
        <v>-2.3735165521548925E-2</v>
      </c>
      <c r="E208" s="148">
        <v>1433.2</v>
      </c>
      <c r="F208" s="149">
        <f t="shared" si="5"/>
        <v>-1.9169044832707132E-2</v>
      </c>
    </row>
    <row r="209" spans="2:6">
      <c r="B209" s="147">
        <v>45604</v>
      </c>
      <c r="C209" s="148">
        <v>151.80000000000001</v>
      </c>
      <c r="D209" s="149">
        <f t="shared" si="4"/>
        <v>-2.8790786948176581E-2</v>
      </c>
      <c r="E209" s="148">
        <v>1416.42</v>
      </c>
      <c r="F209" s="149">
        <f t="shared" si="5"/>
        <v>-1.1708065866592222E-2</v>
      </c>
    </row>
    <row r="210" spans="2:6">
      <c r="B210" s="147">
        <v>45611</v>
      </c>
      <c r="C210" s="148">
        <v>149.4</v>
      </c>
      <c r="D210" s="149">
        <f t="shared" si="4"/>
        <v>-1.5810276679841934E-2</v>
      </c>
      <c r="E210" s="148">
        <v>1445.01</v>
      </c>
      <c r="F210" s="149">
        <f t="shared" si="5"/>
        <v>2.0184690981488482E-2</v>
      </c>
    </row>
    <row r="211" spans="2:6">
      <c r="B211" s="147">
        <v>45618</v>
      </c>
      <c r="C211" s="148">
        <v>141.6</v>
      </c>
      <c r="D211" s="149">
        <f t="shared" si="4"/>
        <v>-5.2208835341365535E-2</v>
      </c>
      <c r="E211" s="148">
        <v>1468.66</v>
      </c>
      <c r="F211" s="149">
        <f t="shared" si="5"/>
        <v>1.6366668742776931E-2</v>
      </c>
    </row>
    <row r="212" spans="2:6">
      <c r="B212" s="147">
        <v>45625</v>
      </c>
      <c r="C212" s="148">
        <v>155.6</v>
      </c>
      <c r="D212" s="149">
        <f t="shared" si="4"/>
        <v>9.8870056497175146E-2</v>
      </c>
      <c r="E212" s="148">
        <v>1454.21</v>
      </c>
      <c r="F212" s="149">
        <f t="shared" si="5"/>
        <v>-9.8389007666853084E-3</v>
      </c>
    </row>
    <row r="213" spans="2:6">
      <c r="B213" s="147">
        <v>45632</v>
      </c>
      <c r="C213" s="148">
        <v>155.19999999999999</v>
      </c>
      <c r="D213" s="149">
        <f t="shared" si="4"/>
        <v>-2.5706940874036356E-3</v>
      </c>
      <c r="E213" s="148">
        <v>1449.58</v>
      </c>
      <c r="F213" s="149">
        <f t="shared" si="5"/>
        <v>-3.1838592775459591E-3</v>
      </c>
    </row>
    <row r="214" spans="2:6">
      <c r="B214" s="147">
        <v>45639</v>
      </c>
      <c r="C214" s="148">
        <v>147.5</v>
      </c>
      <c r="D214" s="149">
        <f t="shared" si="4"/>
        <v>-4.9613402061855598E-2</v>
      </c>
      <c r="E214" s="148">
        <v>1445.87</v>
      </c>
      <c r="F214" s="149">
        <f t="shared" si="5"/>
        <v>-2.5593620221029791E-3</v>
      </c>
    </row>
    <row r="215" spans="2:6">
      <c r="B215" s="147">
        <v>45646</v>
      </c>
      <c r="C215" s="148">
        <v>150.80000000000001</v>
      </c>
      <c r="D215" s="149">
        <f t="shared" si="4"/>
        <v>2.2372881355932281E-2</v>
      </c>
      <c r="E215" s="148">
        <v>1400.54</v>
      </c>
      <c r="F215" s="149">
        <f t="shared" si="5"/>
        <v>-3.1351366305407767E-2</v>
      </c>
    </row>
    <row r="216" spans="2:6">
      <c r="B216" s="147">
        <v>45653</v>
      </c>
      <c r="C216" s="148">
        <v>149.19999999999999</v>
      </c>
      <c r="D216" s="149">
        <f t="shared" si="4"/>
        <v>-1.0610079575596967E-2</v>
      </c>
      <c r="E216" s="148">
        <v>1425.1</v>
      </c>
      <c r="F216" s="149">
        <f t="shared" si="5"/>
        <v>1.7536093221186076E-2</v>
      </c>
    </row>
    <row r="217" spans="2:6">
      <c r="B217" s="147">
        <v>45660</v>
      </c>
      <c r="C217" s="148">
        <v>149.5</v>
      </c>
      <c r="D217" s="149">
        <f t="shared" si="4"/>
        <v>2.0107238605898887E-3</v>
      </c>
      <c r="E217" s="148">
        <v>1462.48</v>
      </c>
      <c r="F217" s="149">
        <f t="shared" si="5"/>
        <v>2.6229738263981554E-2</v>
      </c>
    </row>
    <row r="218" spans="2:6">
      <c r="B218" s="147">
        <v>45667</v>
      </c>
      <c r="C218" s="148">
        <v>147.19999999999999</v>
      </c>
      <c r="D218" s="149">
        <f t="shared" si="4"/>
        <v>-1.538461538461546E-2</v>
      </c>
      <c r="E218" s="148">
        <v>1479.81</v>
      </c>
      <c r="F218" s="149">
        <f t="shared" si="5"/>
        <v>1.1849734697226579E-2</v>
      </c>
    </row>
    <row r="219" spans="2:6">
      <c r="B219" s="147">
        <v>45674</v>
      </c>
      <c r="C219" s="148">
        <v>153.5</v>
      </c>
      <c r="D219" s="149">
        <f t="shared" si="4"/>
        <v>4.279891304347834E-2</v>
      </c>
      <c r="E219" s="148">
        <v>1493.65</v>
      </c>
      <c r="F219" s="149">
        <f t="shared" si="5"/>
        <v>9.3525520168130684E-3</v>
      </c>
    </row>
    <row r="220" spans="2:6">
      <c r="B220" s="147">
        <v>45681</v>
      </c>
      <c r="C220" s="148">
        <v>166.3</v>
      </c>
      <c r="D220" s="149">
        <f t="shared" si="4"/>
        <v>8.3387622149837207E-2</v>
      </c>
      <c r="E220" s="148">
        <v>1489.14</v>
      </c>
      <c r="F220" s="149">
        <f t="shared" si="5"/>
        <v>-3.0194490007699197E-3</v>
      </c>
    </row>
    <row r="221" spans="2:6">
      <c r="B221" s="147">
        <v>45688</v>
      </c>
      <c r="C221" s="148">
        <v>167.7</v>
      </c>
      <c r="D221" s="149">
        <f t="shared" si="4"/>
        <v>8.4185207456402723E-3</v>
      </c>
      <c r="E221" s="148">
        <v>1515.46</v>
      </c>
      <c r="F221" s="149">
        <f t="shared" si="5"/>
        <v>1.7674630995070936E-2</v>
      </c>
    </row>
    <row r="222" spans="2:6">
      <c r="B222" s="147">
        <v>45695</v>
      </c>
      <c r="C222" s="148">
        <v>163.30000000000001</v>
      </c>
      <c r="D222" s="149">
        <f t="shared" si="4"/>
        <v>-2.6237328562909824E-2</v>
      </c>
      <c r="E222" s="148">
        <v>1485.1</v>
      </c>
      <c r="F222" s="149">
        <f t="shared" si="5"/>
        <v>-2.0033521175088834E-2</v>
      </c>
    </row>
    <row r="223" spans="2:6">
      <c r="B223" s="147">
        <v>45702</v>
      </c>
      <c r="C223" s="148">
        <v>190.4</v>
      </c>
      <c r="D223" s="149">
        <f t="shared" si="4"/>
        <v>0.16595223515003057</v>
      </c>
      <c r="E223" s="148">
        <v>1488.2</v>
      </c>
      <c r="F223" s="149">
        <f t="shared" si="5"/>
        <v>2.0874015217831371E-3</v>
      </c>
    </row>
    <row r="224" spans="2:6">
      <c r="B224" s="147">
        <v>45709</v>
      </c>
      <c r="C224" s="148">
        <v>175</v>
      </c>
      <c r="D224" s="149">
        <f t="shared" si="4"/>
        <v>-8.0882352941176502E-2</v>
      </c>
      <c r="E224" s="148">
        <v>1500.24</v>
      </c>
      <c r="F224" s="149">
        <f t="shared" si="5"/>
        <v>8.0903104421448484E-3</v>
      </c>
    </row>
    <row r="225" spans="2:6">
      <c r="B225" s="147">
        <v>45716</v>
      </c>
      <c r="C225" s="148">
        <v>168.3</v>
      </c>
      <c r="D225" s="149">
        <f t="shared" si="4"/>
        <v>-3.8285714285714222E-2</v>
      </c>
      <c r="E225" s="148">
        <v>1489.65</v>
      </c>
      <c r="F225" s="149">
        <f t="shared" si="5"/>
        <v>-7.058870580707032E-3</v>
      </c>
    </row>
    <row r="226" spans="2:6">
      <c r="B226" s="147">
        <v>45723</v>
      </c>
      <c r="C226" s="148">
        <v>166</v>
      </c>
      <c r="D226" s="149">
        <f t="shared" si="4"/>
        <v>-1.3666072489601968E-2</v>
      </c>
      <c r="E226" s="148">
        <v>1490.91</v>
      </c>
      <c r="F226" s="149">
        <f t="shared" si="5"/>
        <v>8.4583627026482114E-4</v>
      </c>
    </row>
    <row r="227" spans="2:6">
      <c r="B227" s="147">
        <v>45730</v>
      </c>
      <c r="C227" s="148">
        <v>159</v>
      </c>
      <c r="D227" s="149">
        <f t="shared" si="4"/>
        <v>-4.2168674698795178E-2</v>
      </c>
      <c r="E227" s="148">
        <v>1504.51</v>
      </c>
      <c r="F227" s="149">
        <f t="shared" si="5"/>
        <v>9.1219456573501476E-3</v>
      </c>
    </row>
    <row r="228" spans="2:6">
      <c r="B228" s="147">
        <v>45737</v>
      </c>
      <c r="C228" s="148">
        <v>162.19999999999999</v>
      </c>
      <c r="D228" s="149">
        <f t="shared" si="4"/>
        <v>2.0125786163521942E-2</v>
      </c>
      <c r="E228" s="148">
        <v>1534.35</v>
      </c>
      <c r="F228" s="149">
        <f t="shared" si="5"/>
        <v>1.9833700008640633E-2</v>
      </c>
    </row>
    <row r="229" spans="2:6">
      <c r="B229" s="147">
        <v>45744</v>
      </c>
      <c r="C229" s="148">
        <v>153.30000000000001</v>
      </c>
      <c r="D229" s="149">
        <f t="shared" si="4"/>
        <v>-5.4870530209617623E-2</v>
      </c>
      <c r="E229" s="148">
        <v>1513.98</v>
      </c>
      <c r="F229" s="149">
        <f t="shared" si="5"/>
        <v>-1.3275980056701464E-2</v>
      </c>
    </row>
    <row r="230" spans="2:6">
      <c r="B230" s="147">
        <v>45751</v>
      </c>
      <c r="C230" s="148">
        <v>141.5</v>
      </c>
      <c r="D230" s="149">
        <f t="shared" si="4"/>
        <v>-7.6973255055446901E-2</v>
      </c>
      <c r="E230" s="148">
        <v>1396.13</v>
      </c>
      <c r="F230" s="149">
        <f t="shared" si="5"/>
        <v>-7.7841186805638063E-2</v>
      </c>
    </row>
    <row r="231" spans="2:6">
      <c r="B231" s="147">
        <v>45758</v>
      </c>
      <c r="C231" s="148">
        <v>147.19999999999999</v>
      </c>
      <c r="D231" s="149">
        <f t="shared" si="4"/>
        <v>4.0282685512367411E-2</v>
      </c>
      <c r="E231" s="148">
        <v>1407.76</v>
      </c>
      <c r="F231" s="149">
        <f t="shared" si="5"/>
        <v>8.3301698265919946E-3</v>
      </c>
    </row>
    <row r="232" spans="2:6">
      <c r="B232" s="147">
        <v>45763</v>
      </c>
      <c r="C232" s="148">
        <v>150.5</v>
      </c>
      <c r="D232" s="149">
        <f t="shared" si="4"/>
        <v>2.2418478260869644E-2</v>
      </c>
      <c r="E232" s="148">
        <v>1447.47</v>
      </c>
      <c r="F232" s="149">
        <f t="shared" si="5"/>
        <v>2.8207933170426802E-2</v>
      </c>
    </row>
    <row r="233" spans="2:6">
      <c r="B233" s="147">
        <v>45772</v>
      </c>
      <c r="C233" s="148">
        <v>154.69999999999999</v>
      </c>
      <c r="D233" s="149">
        <f t="shared" ref="D233:D296" si="6">(C233-C232)/C232</f>
        <v>2.790697674418597E-2</v>
      </c>
      <c r="E233" s="148">
        <v>1456.43</v>
      </c>
      <c r="F233" s="149">
        <f t="shared" ref="F233:F296" si="7">(E233-E232)/E232</f>
        <v>6.1901110212992574E-3</v>
      </c>
    </row>
    <row r="234" spans="2:6">
      <c r="B234" s="147">
        <v>45779</v>
      </c>
      <c r="C234" s="148">
        <v>166.9</v>
      </c>
      <c r="D234" s="149">
        <f t="shared" si="6"/>
        <v>7.8862314156431926E-2</v>
      </c>
      <c r="E234" s="148">
        <v>1510.15</v>
      </c>
      <c r="F234" s="149">
        <f t="shared" si="7"/>
        <v>3.6884711245991929E-2</v>
      </c>
    </row>
    <row r="235" spans="2:6">
      <c r="B235" s="147">
        <v>45786</v>
      </c>
      <c r="C235" s="148">
        <v>145.1</v>
      </c>
      <c r="D235" s="149">
        <f t="shared" si="6"/>
        <v>-0.13061713600958663</v>
      </c>
      <c r="E235" s="148">
        <v>1505.35</v>
      </c>
      <c r="F235" s="149">
        <f t="shared" si="7"/>
        <v>-3.1784922027614355E-3</v>
      </c>
    </row>
    <row r="236" spans="2:6">
      <c r="B236" s="147">
        <v>45793</v>
      </c>
      <c r="C236" s="148">
        <v>153.9</v>
      </c>
      <c r="D236" s="149">
        <f t="shared" si="6"/>
        <v>6.0647829083390843E-2</v>
      </c>
      <c r="E236" s="148">
        <v>1565.56</v>
      </c>
      <c r="F236" s="149">
        <f t="shared" si="7"/>
        <v>3.9997342810642073E-2</v>
      </c>
    </row>
    <row r="237" spans="2:6">
      <c r="B237" s="147">
        <v>45800</v>
      </c>
      <c r="C237" s="148">
        <v>146.6</v>
      </c>
      <c r="D237" s="149">
        <f t="shared" si="6"/>
        <v>-4.7433398310591367E-2</v>
      </c>
      <c r="E237" s="148">
        <v>1549.67</v>
      </c>
      <c r="F237" s="149">
        <f t="shared" si="7"/>
        <v>-1.0149722782901884E-2</v>
      </c>
    </row>
    <row r="238" spans="2:6">
      <c r="B238" s="147">
        <v>45807</v>
      </c>
      <c r="C238" s="148">
        <v>152.4</v>
      </c>
      <c r="D238" s="149">
        <f t="shared" si="6"/>
        <v>3.9563437926330228E-2</v>
      </c>
      <c r="E238" s="148">
        <v>1561.61</v>
      </c>
      <c r="F238" s="149">
        <f t="shared" si="7"/>
        <v>7.7048661973193175E-3</v>
      </c>
    </row>
    <row r="239" spans="2:6">
      <c r="B239" s="147">
        <v>45814</v>
      </c>
      <c r="C239" s="148">
        <v>159.4</v>
      </c>
      <c r="D239" s="149">
        <f t="shared" si="6"/>
        <v>4.5931758530183726E-2</v>
      </c>
      <c r="E239" s="148">
        <v>1584.61</v>
      </c>
      <c r="F239" s="149">
        <f t="shared" si="7"/>
        <v>1.4728389290539892E-2</v>
      </c>
    </row>
    <row r="240" spans="2:6">
      <c r="B240" s="147">
        <v>45821</v>
      </c>
      <c r="C240" s="148">
        <v>155.19999999999999</v>
      </c>
      <c r="D240" s="149">
        <f t="shared" si="6"/>
        <v>-2.6348808030113028E-2</v>
      </c>
      <c r="E240" s="148">
        <v>1627.37</v>
      </c>
      <c r="F240" s="149">
        <f t="shared" si="7"/>
        <v>2.6984557714516501E-2</v>
      </c>
    </row>
    <row r="241" spans="2:6">
      <c r="B241" s="147">
        <v>45828</v>
      </c>
      <c r="C241" s="148">
        <v>160.9</v>
      </c>
      <c r="D241" s="149">
        <f t="shared" si="6"/>
        <v>3.6726804123711453E-2</v>
      </c>
      <c r="E241" s="148">
        <v>1643.85</v>
      </c>
      <c r="F241" s="149">
        <f t="shared" si="7"/>
        <v>1.0126768958503609E-2</v>
      </c>
    </row>
    <row r="242" spans="2:6">
      <c r="B242" s="147">
        <v>45835</v>
      </c>
      <c r="C242" s="148">
        <v>153.30000000000001</v>
      </c>
      <c r="D242" s="149">
        <f t="shared" si="6"/>
        <v>-4.7234307022995616E-2</v>
      </c>
      <c r="E242" s="148">
        <v>1607.73</v>
      </c>
      <c r="F242" s="149">
        <f t="shared" si="7"/>
        <v>-2.1972807737932226E-2</v>
      </c>
    </row>
    <row r="243" spans="2:6">
      <c r="B243" s="147">
        <v>45842</v>
      </c>
      <c r="C243" s="148">
        <v>164</v>
      </c>
      <c r="D243" s="149">
        <f t="shared" si="6"/>
        <v>6.9797782126549177E-2</v>
      </c>
      <c r="E243" s="148">
        <v>1631.88</v>
      </c>
      <c r="F243" s="149">
        <f t="shared" si="7"/>
        <v>1.5021178929297887E-2</v>
      </c>
    </row>
    <row r="244" spans="2:6">
      <c r="B244" s="147">
        <v>45849</v>
      </c>
      <c r="C244" s="148">
        <v>165.4</v>
      </c>
      <c r="D244" s="149">
        <f t="shared" si="6"/>
        <v>8.5365853658536939E-3</v>
      </c>
      <c r="E244" s="148">
        <v>1627.14</v>
      </c>
      <c r="F244" s="149">
        <f t="shared" si="7"/>
        <v>-2.9046253400985419E-3</v>
      </c>
    </row>
    <row r="245" spans="2:6">
      <c r="B245" s="147">
        <v>45856</v>
      </c>
      <c r="C245" s="148">
        <v>140</v>
      </c>
      <c r="D245" s="149">
        <f t="shared" si="6"/>
        <v>-0.15356711003627571</v>
      </c>
      <c r="E245" s="148">
        <v>1616.92</v>
      </c>
      <c r="F245" s="149">
        <f t="shared" si="7"/>
        <v>-6.2809592290768018E-3</v>
      </c>
    </row>
    <row r="246" spans="2:6">
      <c r="B246" s="147">
        <v>45863</v>
      </c>
      <c r="C246" s="148">
        <v>143.80000000000001</v>
      </c>
      <c r="D246" s="149">
        <f t="shared" si="6"/>
        <v>2.7142857142857225E-2</v>
      </c>
      <c r="E246" s="148">
        <v>1614.53</v>
      </c>
      <c r="F246" s="149">
        <f t="shared" si="7"/>
        <v>-1.4781188927096578E-3</v>
      </c>
    </row>
    <row r="247" spans="2:6">
      <c r="B247" s="147">
        <v>45870</v>
      </c>
      <c r="C247" s="148">
        <v>141.69999999999999</v>
      </c>
      <c r="D247" s="149">
        <f t="shared" si="6"/>
        <v>-1.4603616133518934E-2</v>
      </c>
      <c r="E247" s="148">
        <v>1605.43</v>
      </c>
      <c r="F247" s="149">
        <f t="shared" si="7"/>
        <v>-5.6363152124766398E-3</v>
      </c>
    </row>
    <row r="248" spans="2:6">
      <c r="B248" s="147">
        <v>45877</v>
      </c>
      <c r="C248" s="148">
        <v>151.1</v>
      </c>
      <c r="D248" s="149">
        <f t="shared" si="6"/>
        <v>6.6337332392378309E-2</v>
      </c>
      <c r="E248" s="148">
        <v>1622.72</v>
      </c>
      <c r="F248" s="149">
        <f t="shared" si="7"/>
        <v>1.0769700329506714E-2</v>
      </c>
    </row>
    <row r="249" spans="2:6">
      <c r="B249" s="147">
        <v>45884</v>
      </c>
      <c r="C249" s="148">
        <v>154.5</v>
      </c>
      <c r="D249" s="149">
        <f t="shared" si="6"/>
        <v>2.2501654533421615E-2</v>
      </c>
      <c r="E249" s="148">
        <v>1634.23</v>
      </c>
      <c r="F249" s="149">
        <f t="shared" si="7"/>
        <v>7.0930289883652086E-3</v>
      </c>
    </row>
    <row r="250" spans="2:6">
      <c r="B250" s="147">
        <v>45891</v>
      </c>
      <c r="C250" s="148">
        <v>154.9</v>
      </c>
      <c r="D250" s="149">
        <f t="shared" si="6"/>
        <v>2.5889967637540822E-3</v>
      </c>
      <c r="E250" s="148">
        <v>1664.42</v>
      </c>
      <c r="F250" s="149">
        <f t="shared" si="7"/>
        <v>1.8473531877397951E-2</v>
      </c>
    </row>
    <row r="251" spans="2:6">
      <c r="B251" s="147">
        <v>45898</v>
      </c>
      <c r="C251" s="148">
        <v>152.80000000000001</v>
      </c>
      <c r="D251" s="149">
        <f t="shared" si="6"/>
        <v>-1.3557133634602932E-2</v>
      </c>
      <c r="E251" s="148">
        <v>1646.47</v>
      </c>
      <c r="F251" s="149">
        <f t="shared" si="7"/>
        <v>-1.078453755662636E-2</v>
      </c>
    </row>
    <row r="252" spans="2:6">
      <c r="B252" s="147">
        <v>45905</v>
      </c>
      <c r="C252" s="148">
        <v>153</v>
      </c>
      <c r="D252" s="149">
        <f t="shared" si="6"/>
        <v>1.3089005235601349E-3</v>
      </c>
      <c r="E252" s="148">
        <v>1625.88</v>
      </c>
      <c r="F252" s="149">
        <f t="shared" si="7"/>
        <v>-1.2505542159893541E-2</v>
      </c>
    </row>
    <row r="253" spans="2:6">
      <c r="B253" s="147">
        <v>45912</v>
      </c>
      <c r="C253" s="148">
        <v>148.69999999999999</v>
      </c>
      <c r="D253" s="149">
        <f t="shared" si="6"/>
        <v>-2.8104575163398766E-2</v>
      </c>
      <c r="E253" s="148">
        <v>1654.62</v>
      </c>
      <c r="F253" s="149">
        <f t="shared" si="7"/>
        <v>1.7676581297512595E-2</v>
      </c>
    </row>
    <row r="254" spans="2:6">
      <c r="B254" s="147">
        <v>45919</v>
      </c>
      <c r="C254" s="148">
        <v>156</v>
      </c>
      <c r="D254" s="149">
        <f t="shared" si="6"/>
        <v>4.9092131809011515E-2</v>
      </c>
      <c r="E254" s="148">
        <v>1645.65</v>
      </c>
      <c r="F254" s="149">
        <f t="shared" si="7"/>
        <v>-5.4211843202667687E-3</v>
      </c>
    </row>
    <row r="255" spans="2:6">
      <c r="B255" s="147">
        <v>45926</v>
      </c>
      <c r="C255" s="148">
        <v>148.5</v>
      </c>
      <c r="D255" s="149">
        <f t="shared" si="6"/>
        <v>-4.807692307692308E-2</v>
      </c>
      <c r="E255" s="148">
        <v>1662.43</v>
      </c>
      <c r="F255" s="149">
        <f t="shared" si="7"/>
        <v>1.0196578859417235E-2</v>
      </c>
    </row>
    <row r="256" spans="2:6">
      <c r="B256" s="147">
        <v>45933</v>
      </c>
      <c r="C256" s="148">
        <v>148.4</v>
      </c>
      <c r="D256" s="149">
        <f t="shared" si="6"/>
        <v>-6.7340067340063516E-4</v>
      </c>
      <c r="E256" s="148">
        <v>1659.31</v>
      </c>
      <c r="F256" s="149">
        <f t="shared" si="7"/>
        <v>-1.8767707512497478E-3</v>
      </c>
    </row>
    <row r="257" spans="2:6">
      <c r="B257" s="147">
        <v>45940</v>
      </c>
      <c r="C257" s="148">
        <v>142.9</v>
      </c>
      <c r="D257" s="149">
        <f t="shared" si="6"/>
        <v>-3.7061994609164421E-2</v>
      </c>
      <c r="E257" s="148">
        <v>1650.86</v>
      </c>
      <c r="F257" s="149">
        <f t="shared" si="7"/>
        <v>-5.0924781987693951E-3</v>
      </c>
    </row>
    <row r="258" spans="2:6">
      <c r="B258" s="147">
        <v>45947</v>
      </c>
      <c r="C258" s="148">
        <v>118.5</v>
      </c>
      <c r="D258" s="149">
        <f t="shared" si="6"/>
        <v>-0.1707487753673898</v>
      </c>
      <c r="E258" s="148">
        <v>1623.18</v>
      </c>
      <c r="F258" s="149">
        <f t="shared" si="7"/>
        <v>-1.6767018402529494E-2</v>
      </c>
    </row>
    <row r="259" spans="2:6">
      <c r="B259" s="147">
        <v>45954</v>
      </c>
      <c r="C259" s="148">
        <v>127.7</v>
      </c>
      <c r="D259" s="149">
        <f t="shared" si="6"/>
        <v>7.7637130801687784E-2</v>
      </c>
      <c r="E259" s="148">
        <v>1642.83</v>
      </c>
      <c r="F259" s="149">
        <f t="shared" si="7"/>
        <v>1.2105866262521633E-2</v>
      </c>
    </row>
    <row r="260" spans="2:6">
      <c r="B260" s="147">
        <v>45961</v>
      </c>
      <c r="C260" s="148">
        <v>124</v>
      </c>
      <c r="D260" s="149">
        <f t="shared" si="6"/>
        <v>-2.8974158183241994E-2</v>
      </c>
      <c r="E260" s="148">
        <v>1611.8</v>
      </c>
      <c r="F260" s="149">
        <f t="shared" si="7"/>
        <v>-1.888813815184771E-2</v>
      </c>
    </row>
    <row r="261" spans="2:6">
      <c r="B261" s="147">
        <v>45968</v>
      </c>
      <c r="C261" s="148">
        <v>117.7</v>
      </c>
      <c r="D261" s="149">
        <f t="shared" si="6"/>
        <v>-5.0806451612903203E-2</v>
      </c>
      <c r="E261" s="148">
        <v>1599.21</v>
      </c>
      <c r="F261" s="149">
        <f t="shared" si="7"/>
        <v>-7.8111428216899852E-3</v>
      </c>
    </row>
    <row r="262" spans="2:6">
      <c r="B262" s="147">
        <v>45975</v>
      </c>
      <c r="C262" s="148">
        <v>121.4</v>
      </c>
      <c r="D262" s="149">
        <f t="shared" si="6"/>
        <v>3.1435853865760428E-2</v>
      </c>
      <c r="E262" s="148">
        <v>1614.79</v>
      </c>
      <c r="F262" s="149">
        <f t="shared" si="7"/>
        <v>9.7423102656936413E-3</v>
      </c>
    </row>
    <row r="263" spans="2:6">
      <c r="B263" s="147">
        <v>45982</v>
      </c>
      <c r="C263" s="148">
        <v>119.9</v>
      </c>
      <c r="D263" s="149">
        <f t="shared" si="6"/>
        <v>-1.2355848434925864E-2</v>
      </c>
      <c r="E263" s="148">
        <v>1583.67</v>
      </c>
      <c r="F263" s="149">
        <f t="shared" si="7"/>
        <v>-1.9271855783104856E-2</v>
      </c>
    </row>
    <row r="264" spans="2:6">
      <c r="B264" s="147">
        <v>45989</v>
      </c>
      <c r="C264" s="148">
        <v>125.1</v>
      </c>
      <c r="D264" s="149">
        <f t="shared" si="6"/>
        <v>4.3369474562135017E-2</v>
      </c>
      <c r="E264" s="148">
        <v>1609.67</v>
      </c>
      <c r="F264" s="149">
        <f t="shared" si="7"/>
        <v>1.641756173950381E-2</v>
      </c>
    </row>
    <row r="265" spans="2:6">
      <c r="B265" s="147">
        <v>45996</v>
      </c>
      <c r="C265" s="148">
        <v>136.9</v>
      </c>
      <c r="D265" s="149">
        <f t="shared" si="6"/>
        <v>9.4324540367705934E-2</v>
      </c>
      <c r="E265" s="148">
        <v>1632.45</v>
      </c>
      <c r="F265" s="149">
        <f t="shared" si="7"/>
        <v>1.4151969037131817E-2</v>
      </c>
    </row>
    <row r="266" spans="2:6">
      <c r="B266" s="147">
        <v>46003</v>
      </c>
      <c r="C266" s="148">
        <v>135</v>
      </c>
      <c r="D266" s="149">
        <f t="shared" si="6"/>
        <v>-1.387874360847338E-2</v>
      </c>
      <c r="E266" s="148">
        <v>1642.81</v>
      </c>
      <c r="F266" s="149">
        <f t="shared" si="7"/>
        <v>6.3462893197340801E-3</v>
      </c>
    </row>
    <row r="267" spans="2:6">
      <c r="B267" s="147">
        <v>46010</v>
      </c>
      <c r="C267" s="148">
        <v>133.30000000000001</v>
      </c>
      <c r="D267" s="149">
        <f t="shared" si="6"/>
        <v>-1.2592592592592508E-2</v>
      </c>
      <c r="E267" s="148">
        <v>1660.14</v>
      </c>
      <c r="F267" s="149">
        <f t="shared" si="7"/>
        <v>1.0548998362561802E-2</v>
      </c>
    </row>
    <row r="268" spans="2:6">
      <c r="B268" s="147">
        <v>46014</v>
      </c>
      <c r="C268" s="148">
        <v>132.80000000000001</v>
      </c>
      <c r="D268" s="149">
        <f t="shared" si="6"/>
        <v>-3.7509377344336079E-3</v>
      </c>
      <c r="E268" s="148">
        <v>1666.51</v>
      </c>
      <c r="F268" s="149">
        <f t="shared" si="7"/>
        <v>3.8370257930053432E-3</v>
      </c>
    </row>
    <row r="269" spans="2:6">
      <c r="B269" s="147">
        <v>46024</v>
      </c>
      <c r="C269" s="148">
        <v>136.5</v>
      </c>
      <c r="D269" s="149">
        <f t="shared" si="6"/>
        <v>2.7861445783132443E-2</v>
      </c>
      <c r="E269" s="148">
        <v>1696.95</v>
      </c>
      <c r="F269" s="149">
        <f t="shared" si="7"/>
        <v>1.8265716977395909E-2</v>
      </c>
    </row>
    <row r="270" spans="2:6">
      <c r="B270" s="147">
        <v>46031</v>
      </c>
      <c r="C270" s="148">
        <v>135.4</v>
      </c>
      <c r="D270" s="149">
        <f t="shared" si="6"/>
        <v>-8.0586080586080161E-3</v>
      </c>
      <c r="E270" s="148">
        <v>1697.17</v>
      </c>
      <c r="F270" s="149">
        <f t="shared" si="7"/>
        <v>1.2964436194350291E-4</v>
      </c>
    </row>
    <row r="271" spans="2:6">
      <c r="B271" s="147">
        <v>46038</v>
      </c>
      <c r="C271" s="148">
        <v>132.19999999999999</v>
      </c>
      <c r="D271" s="149">
        <f t="shared" si="6"/>
        <v>-2.3633677991137497E-2</v>
      </c>
      <c r="E271" s="148">
        <v>1750.9</v>
      </c>
      <c r="F271" s="149">
        <f t="shared" si="7"/>
        <v>3.165858458492668E-2</v>
      </c>
    </row>
    <row r="272" spans="2:6">
      <c r="B272" s="147">
        <v>46045</v>
      </c>
      <c r="C272" s="148">
        <v>130</v>
      </c>
      <c r="D272" s="149">
        <f t="shared" si="6"/>
        <v>-1.6641452344931838E-2</v>
      </c>
      <c r="E272" s="148">
        <v>1733.38</v>
      </c>
      <c r="F272" s="149">
        <f t="shared" si="7"/>
        <v>-1.0006282483294295E-2</v>
      </c>
    </row>
    <row r="273" spans="2:6">
      <c r="B273" s="147">
        <v>46052</v>
      </c>
      <c r="C273" s="148">
        <v>128.1</v>
      </c>
      <c r="D273" s="149">
        <f t="shared" si="6"/>
        <v>-1.4615384615384659E-2</v>
      </c>
      <c r="E273" s="148">
        <v>1760.38</v>
      </c>
      <c r="F273" s="149">
        <f t="shared" si="7"/>
        <v>1.5576503709515513E-2</v>
      </c>
    </row>
    <row r="274" spans="2:6">
      <c r="B274" s="147">
        <v>46059</v>
      </c>
      <c r="C274" s="148">
        <v>126.1</v>
      </c>
      <c r="D274" s="149">
        <f t="shared" si="6"/>
        <v>-1.56128024980484E-2</v>
      </c>
      <c r="E274" s="148">
        <v>1816.11</v>
      </c>
      <c r="F274" s="149">
        <f t="shared" si="7"/>
        <v>3.1657937490768916E-2</v>
      </c>
    </row>
    <row r="275" spans="2:6">
      <c r="B275" s="147">
        <v>46066</v>
      </c>
      <c r="C275" s="148">
        <v>122.4</v>
      </c>
      <c r="D275" s="149">
        <f t="shared" si="6"/>
        <v>-2.9341792228390076E-2</v>
      </c>
      <c r="E275" s="148">
        <v>1822.94</v>
      </c>
      <c r="F275" s="149">
        <f t="shared" si="7"/>
        <v>3.7607854149804554E-3</v>
      </c>
    </row>
    <row r="276" spans="2:6">
      <c r="B276" s="147">
        <v>46073</v>
      </c>
      <c r="C276" s="148">
        <v>119.7</v>
      </c>
      <c r="D276" s="149">
        <f t="shared" si="6"/>
        <v>-2.2058823529411787E-2</v>
      </c>
      <c r="E276" s="148">
        <v>1884.15</v>
      </c>
      <c r="F276" s="149">
        <f t="shared" si="7"/>
        <v>3.357762734922709E-2</v>
      </c>
    </row>
    <row r="277" spans="2:6">
      <c r="B277" s="147">
        <v>46080</v>
      </c>
      <c r="C277" s="148">
        <v>117.6</v>
      </c>
      <c r="D277" s="149">
        <f t="shared" si="6"/>
        <v>-1.7543859649122879E-2</v>
      </c>
      <c r="E277" s="148">
        <v>1892.04</v>
      </c>
      <c r="F277" s="149">
        <f t="shared" si="7"/>
        <v>4.1875646843403513E-3</v>
      </c>
    </row>
    <row r="278" spans="2:6">
      <c r="B278" s="147">
        <v>46087</v>
      </c>
      <c r="C278" s="148">
        <v>116.1</v>
      </c>
      <c r="D278" s="149">
        <f t="shared" si="6"/>
        <v>-1.2755102040816327E-2</v>
      </c>
      <c r="E278" s="148">
        <v>1904.18</v>
      </c>
      <c r="F278" s="149">
        <f t="shared" si="7"/>
        <v>6.4163548339359108E-3</v>
      </c>
    </row>
    <row r="279" spans="2:6">
      <c r="B279" s="147">
        <v>46094</v>
      </c>
      <c r="C279" s="148">
        <v>111.7</v>
      </c>
      <c r="D279" s="149">
        <f t="shared" si="6"/>
        <v>-3.7898363479758758E-2</v>
      </c>
      <c r="E279" s="148">
        <v>1945.95</v>
      </c>
      <c r="F279" s="149">
        <f t="shared" si="7"/>
        <v>2.193595143316282E-2</v>
      </c>
    </row>
    <row r="280" spans="2:6">
      <c r="B280" s="147">
        <v>46101</v>
      </c>
      <c r="C280" s="148">
        <v>110</v>
      </c>
      <c r="D280" s="149">
        <f t="shared" si="6"/>
        <v>-1.5219337511190714E-2</v>
      </c>
      <c r="E280" s="148">
        <v>1966.5</v>
      </c>
      <c r="F280" s="149">
        <f t="shared" si="7"/>
        <v>1.0560394665844422E-2</v>
      </c>
    </row>
    <row r="281" spans="2:6">
      <c r="B281" s="147">
        <v>46108</v>
      </c>
      <c r="C281" s="148">
        <v>110.5</v>
      </c>
      <c r="D281" s="149">
        <f t="shared" si="6"/>
        <v>4.5454545454545452E-3</v>
      </c>
      <c r="E281" s="148">
        <v>1981.56</v>
      </c>
      <c r="F281" s="149">
        <f t="shared" si="7"/>
        <v>7.658276125095319E-3</v>
      </c>
    </row>
    <row r="282" spans="2:6">
      <c r="B282" s="147">
        <v>46113</v>
      </c>
      <c r="C282" s="148">
        <v>116.4</v>
      </c>
      <c r="D282" s="149">
        <f t="shared" si="6"/>
        <v>5.3393665158371094E-2</v>
      </c>
      <c r="E282" s="148">
        <v>2053.0500000000002</v>
      </c>
      <c r="F282" s="149">
        <f t="shared" si="7"/>
        <v>3.6077635802095442E-2</v>
      </c>
    </row>
    <row r="283" spans="2:6">
      <c r="B283" s="147">
        <v>46122</v>
      </c>
      <c r="C283" s="148">
        <v>126.3</v>
      </c>
      <c r="D283" s="149">
        <f t="shared" si="6"/>
        <v>8.5051546391752497E-2</v>
      </c>
      <c r="E283" s="148">
        <v>2043.61</v>
      </c>
      <c r="F283" s="149">
        <f t="shared" si="7"/>
        <v>-4.5980370668031864E-3</v>
      </c>
    </row>
    <row r="284" spans="2:6">
      <c r="B284" s="147">
        <v>46129</v>
      </c>
      <c r="C284" s="148">
        <v>123.6</v>
      </c>
      <c r="D284" s="149">
        <f t="shared" si="6"/>
        <v>-2.1377672209026151E-2</v>
      </c>
      <c r="E284" s="148">
        <v>1968.36</v>
      </c>
      <c r="F284" s="149">
        <f t="shared" si="7"/>
        <v>-3.6822094235201434E-2</v>
      </c>
    </row>
    <row r="285" spans="2:6">
      <c r="B285" s="147">
        <v>46136</v>
      </c>
      <c r="C285" s="148">
        <v>90</v>
      </c>
      <c r="D285" s="149">
        <f t="shared" si="6"/>
        <v>-0.27184466019417475</v>
      </c>
      <c r="E285" s="148">
        <v>1994.27</v>
      </c>
      <c r="F285" s="149">
        <f t="shared" si="7"/>
        <v>1.3163242496291371E-2</v>
      </c>
    </row>
    <row r="286" spans="2:6">
      <c r="B286" s="147">
        <v>46142</v>
      </c>
      <c r="C286" s="148">
        <v>93.75</v>
      </c>
      <c r="D286" s="149">
        <f t="shared" si="6"/>
        <v>4.1666666666666664E-2</v>
      </c>
      <c r="E286" s="148">
        <v>2018.63</v>
      </c>
      <c r="F286" s="149">
        <f t="shared" si="7"/>
        <v>1.2214995963435307E-2</v>
      </c>
    </row>
    <row r="287" spans="2:6">
      <c r="B287" s="147">
        <v>46150</v>
      </c>
      <c r="C287" s="148">
        <v>96</v>
      </c>
      <c r="D287" s="149">
        <f t="shared" si="6"/>
        <v>2.4E-2</v>
      </c>
      <c r="E287" s="148">
        <v>1970.28</v>
      </c>
      <c r="F287" s="149">
        <f t="shared" si="7"/>
        <v>-2.3951888161773151E-2</v>
      </c>
    </row>
    <row r="288" spans="2:6">
      <c r="B288" s="147">
        <v>46157</v>
      </c>
      <c r="C288" s="148">
        <v>94.3</v>
      </c>
      <c r="D288" s="149">
        <f t="shared" si="6"/>
        <v>-1.7708333333333364E-2</v>
      </c>
      <c r="E288" s="148">
        <v>2017.85</v>
      </c>
      <c r="F288" s="149">
        <f t="shared" si="7"/>
        <v>2.4143776519073398E-2</v>
      </c>
    </row>
    <row r="289" spans="2:6">
      <c r="B289" s="147">
        <v>46164</v>
      </c>
      <c r="C289" s="148">
        <v>98.5</v>
      </c>
      <c r="D289" s="149">
        <f t="shared" si="6"/>
        <v>4.4538706256627814E-2</v>
      </c>
      <c r="E289" s="148">
        <v>2043.5</v>
      </c>
      <c r="F289" s="149">
        <f t="shared" si="7"/>
        <v>1.2711549421413927E-2</v>
      </c>
    </row>
    <row r="290" spans="2:6">
      <c r="B290" s="147">
        <v>46171</v>
      </c>
      <c r="C290" s="148">
        <v>97.1</v>
      </c>
      <c r="D290" s="149">
        <f t="shared" si="6"/>
        <v>-1.4213197969543205E-2</v>
      </c>
      <c r="E290" s="148">
        <v>2000.29</v>
      </c>
      <c r="F290" s="149">
        <f t="shared" si="7"/>
        <v>-2.1145094201125536E-2</v>
      </c>
    </row>
    <row r="291" spans="2:6">
      <c r="B291" s="147">
        <v>46178</v>
      </c>
      <c r="C291" s="148">
        <v>95.75</v>
      </c>
      <c r="D291" s="149">
        <f t="shared" si="6"/>
        <v>-1.3903192584963897E-2</v>
      </c>
      <c r="E291" s="148">
        <v>2003.92</v>
      </c>
      <c r="F291" s="149">
        <f t="shared" si="7"/>
        <v>1.8147368631548971E-3</v>
      </c>
    </row>
    <row r="292" spans="2:6">
      <c r="B292" s="147">
        <v>46185</v>
      </c>
      <c r="C292" s="148">
        <v>95.6</v>
      </c>
      <c r="D292" s="149">
        <f t="shared" si="6"/>
        <v>-1.5665796344648112E-3</v>
      </c>
      <c r="E292" s="148">
        <v>1995.22</v>
      </c>
      <c r="F292" s="149">
        <f t="shared" si="7"/>
        <v>-4.3414906782706124E-3</v>
      </c>
    </row>
    <row r="293" spans="2:6">
      <c r="B293" s="147">
        <v>46192</v>
      </c>
      <c r="C293" s="148">
        <v>96.9</v>
      </c>
      <c r="D293" s="149">
        <f t="shared" si="6"/>
        <v>1.3598326359832756E-2</v>
      </c>
      <c r="E293" s="148">
        <v>1950.43</v>
      </c>
      <c r="F293" s="149">
        <f t="shared" si="7"/>
        <v>-2.2448652278946664E-2</v>
      </c>
    </row>
    <row r="294" spans="2:6">
      <c r="B294" s="147">
        <v>46199</v>
      </c>
      <c r="C294" s="148">
        <v>94.4</v>
      </c>
      <c r="D294" s="149">
        <f t="shared" si="6"/>
        <v>-2.5799793601651185E-2</v>
      </c>
      <c r="E294" s="148">
        <v>1900.57</v>
      </c>
      <c r="F294" s="149">
        <f t="shared" si="7"/>
        <v>-2.5563593669088419E-2</v>
      </c>
    </row>
    <row r="295" spans="2:6">
      <c r="B295" s="147">
        <v>46206</v>
      </c>
      <c r="C295" s="148">
        <v>99</v>
      </c>
      <c r="D295" s="149">
        <f t="shared" si="6"/>
        <v>4.8728813559321973E-2</v>
      </c>
      <c r="E295" s="148">
        <v>1943.93</v>
      </c>
      <c r="F295" s="149">
        <f t="shared" si="7"/>
        <v>2.2814208369068296E-2</v>
      </c>
    </row>
    <row r="296" spans="2:6">
      <c r="B296" s="147">
        <v>46213</v>
      </c>
      <c r="C296" s="148">
        <v>95.7</v>
      </c>
      <c r="D296" s="149">
        <f t="shared" si="6"/>
        <v>-3.3333333333333305E-2</v>
      </c>
      <c r="E296" s="148">
        <v>1932.39</v>
      </c>
      <c r="F296" s="149">
        <f t="shared" si="7"/>
        <v>-5.9364277520280893E-3</v>
      </c>
    </row>
    <row r="297" spans="2:6">
      <c r="B297" s="147">
        <v>46220</v>
      </c>
      <c r="C297" s="148">
        <v>110.3</v>
      </c>
      <c r="D297" s="149">
        <f t="shared" ref="D297:D299" si="8">(C297-C296)/C296</f>
        <v>0.1525600835945663</v>
      </c>
      <c r="E297" s="148">
        <v>1957.31</v>
      </c>
      <c r="F297" s="149">
        <f t="shared" ref="F297:F299" si="9">(E297-E296)/E296</f>
        <v>1.2895947505420668E-2</v>
      </c>
    </row>
    <row r="298" spans="2:6">
      <c r="B298" s="147">
        <v>46227</v>
      </c>
      <c r="C298" s="148">
        <v>100.4</v>
      </c>
      <c r="D298" s="149">
        <f t="shared" si="8"/>
        <v>-8.9755213055303637E-2</v>
      </c>
      <c r="E298" s="148">
        <v>2007.53</v>
      </c>
      <c r="F298" s="149">
        <f t="shared" si="9"/>
        <v>2.5657662812737906E-2</v>
      </c>
    </row>
    <row r="299" spans="2:6">
      <c r="B299" s="147">
        <v>46234</v>
      </c>
      <c r="C299" s="148">
        <v>104.8</v>
      </c>
      <c r="D299" s="149">
        <f t="shared" si="8"/>
        <v>4.3824701195219036E-2</v>
      </c>
      <c r="E299" s="148">
        <v>2018.08</v>
      </c>
      <c r="F299" s="149">
        <f t="shared" si="9"/>
        <v>5.255214118842535E-3</v>
      </c>
    </row>
    <row r="300" spans="2:6">
      <c r="B300" s="143"/>
      <c r="C300" s="142"/>
      <c r="D300" s="141"/>
      <c r="E300" s="140"/>
      <c r="F300" s="144"/>
    </row>
    <row r="301" spans="2:6">
      <c r="B301" s="143"/>
      <c r="C301" s="142"/>
      <c r="D301" s="141"/>
      <c r="E301" s="140"/>
      <c r="F301" s="144"/>
    </row>
    <row r="302" spans="2:6">
      <c r="B302" s="143"/>
      <c r="C302" s="142"/>
      <c r="D302" s="141"/>
      <c r="E302" s="140"/>
      <c r="F302" s="144"/>
    </row>
    <row r="303" spans="2:6">
      <c r="B303" s="143"/>
      <c r="C303" s="142"/>
      <c r="D303" s="141"/>
      <c r="E303" s="140"/>
      <c r="F303" s="144"/>
    </row>
    <row r="304" spans="2:6">
      <c r="B304" s="143"/>
      <c r="C304" s="142"/>
      <c r="D304" s="141"/>
      <c r="E304" s="140"/>
      <c r="F304" s="144"/>
    </row>
    <row r="305" spans="2:6">
      <c r="B305" s="143"/>
      <c r="C305" s="142"/>
      <c r="D305" s="141"/>
      <c r="E305" s="140"/>
      <c r="F305" s="144"/>
    </row>
    <row r="306" spans="2:6">
      <c r="B306" s="143"/>
      <c r="C306" s="142"/>
      <c r="D306" s="141"/>
      <c r="E306" s="140"/>
      <c r="F306" s="144"/>
    </row>
    <row r="307" spans="2:6">
      <c r="B307" s="143"/>
      <c r="C307" s="142"/>
      <c r="D307" s="141"/>
      <c r="E307" s="140"/>
      <c r="F307" s="144"/>
    </row>
    <row r="308" spans="2:6">
      <c r="B308" s="143"/>
      <c r="C308" s="142"/>
      <c r="D308" s="141"/>
      <c r="E308" s="140"/>
      <c r="F308" s="144"/>
    </row>
    <row r="309" spans="2:6">
      <c r="B309" s="143"/>
      <c r="C309" s="142"/>
      <c r="D309" s="141"/>
      <c r="E309" s="140"/>
      <c r="F309" s="144"/>
    </row>
    <row r="310" spans="2:6">
      <c r="B310" s="143"/>
      <c r="C310" s="142"/>
      <c r="D310" s="141"/>
      <c r="E310" s="140"/>
      <c r="F310" s="144"/>
    </row>
    <row r="311" spans="2:6">
      <c r="B311" s="143"/>
      <c r="C311" s="142"/>
      <c r="D311" s="141"/>
      <c r="E311" s="140"/>
      <c r="F311" s="144"/>
    </row>
    <row r="312" spans="2:6">
      <c r="B312" s="143"/>
      <c r="C312" s="142"/>
      <c r="D312" s="141"/>
      <c r="E312" s="140"/>
      <c r="F312" s="144"/>
    </row>
    <row r="313" spans="2:6">
      <c r="B313" s="143"/>
      <c r="C313" s="142"/>
      <c r="D313" s="141"/>
      <c r="E313" s="140"/>
      <c r="F313" s="144"/>
    </row>
    <row r="314" spans="2:6">
      <c r="B314" s="143"/>
      <c r="C314" s="142"/>
      <c r="D314" s="141"/>
      <c r="E314" s="140"/>
      <c r="F314" s="144"/>
    </row>
    <row r="315" spans="2:6">
      <c r="B315" s="143"/>
      <c r="C315" s="142"/>
      <c r="D315" s="141"/>
      <c r="E315" s="140"/>
      <c r="F315" s="144"/>
    </row>
    <row r="316" spans="2:6">
      <c r="B316" s="143"/>
      <c r="C316" s="142"/>
      <c r="D316" s="141"/>
      <c r="E316" s="140"/>
      <c r="F316" s="144"/>
    </row>
    <row r="317" spans="2:6">
      <c r="B317" s="143"/>
      <c r="C317" s="142"/>
      <c r="D317" s="141"/>
      <c r="E317" s="140"/>
      <c r="F317" s="144"/>
    </row>
    <row r="318" spans="2:6">
      <c r="B318" s="143"/>
      <c r="C318" s="142"/>
      <c r="D318" s="141"/>
      <c r="E318" s="140"/>
      <c r="F318" s="144"/>
    </row>
    <row r="319" spans="2:6">
      <c r="B319" s="143"/>
      <c r="C319" s="142"/>
      <c r="D319" s="141"/>
      <c r="E319" s="140"/>
      <c r="F319" s="144"/>
    </row>
    <row r="320" spans="2:6">
      <c r="B320" s="143"/>
      <c r="C320" s="142"/>
      <c r="D320" s="141"/>
      <c r="E320" s="140"/>
      <c r="F320" s="144"/>
    </row>
    <row r="321" spans="2:6">
      <c r="B321" s="143"/>
      <c r="C321" s="142"/>
      <c r="D321" s="141"/>
      <c r="E321" s="140"/>
      <c r="F321" s="144"/>
    </row>
    <row r="322" spans="2:6">
      <c r="B322" s="143"/>
      <c r="C322" s="142"/>
      <c r="D322" s="141"/>
      <c r="E322" s="140"/>
      <c r="F322" s="144"/>
    </row>
    <row r="323" spans="2:6">
      <c r="B323" s="143"/>
      <c r="C323" s="142"/>
      <c r="D323" s="141"/>
      <c r="E323" s="140"/>
      <c r="F323" s="144"/>
    </row>
    <row r="324" spans="2:6">
      <c r="B324" s="143"/>
      <c r="C324" s="142"/>
      <c r="D324" s="141"/>
      <c r="E324" s="140"/>
      <c r="F324" s="144"/>
    </row>
    <row r="325" spans="2:6">
      <c r="B325" s="143"/>
      <c r="C325" s="142"/>
      <c r="D325" s="141"/>
      <c r="E325" s="140"/>
      <c r="F325" s="144"/>
    </row>
    <row r="326" spans="2:6">
      <c r="B326" s="143"/>
      <c r="C326" s="142"/>
      <c r="D326" s="141"/>
      <c r="E326" s="140"/>
      <c r="F326" s="144"/>
    </row>
    <row r="327" spans="2:6">
      <c r="B327" s="143"/>
      <c r="C327" s="142"/>
      <c r="D327" s="141"/>
      <c r="E327" s="140"/>
      <c r="F327" s="144"/>
    </row>
    <row r="328" spans="2:6">
      <c r="B328" s="143"/>
      <c r="C328" s="142"/>
      <c r="D328" s="141"/>
      <c r="E328" s="140"/>
      <c r="F328" s="144"/>
    </row>
    <row r="329" spans="2:6">
      <c r="B329" s="143"/>
      <c r="C329" s="142"/>
      <c r="D329" s="141"/>
      <c r="E329" s="140"/>
      <c r="F329" s="144"/>
    </row>
    <row r="330" spans="2:6">
      <c r="B330" s="143"/>
      <c r="C330" s="142"/>
      <c r="D330" s="141"/>
      <c r="E330" s="140"/>
      <c r="F330" s="144"/>
    </row>
    <row r="331" spans="2:6">
      <c r="B331" s="143"/>
      <c r="C331" s="142"/>
      <c r="D331" s="141"/>
      <c r="E331" s="140"/>
      <c r="F331" s="144"/>
    </row>
    <row r="332" spans="2:6">
      <c r="B332" s="143"/>
      <c r="C332" s="142"/>
      <c r="D332" s="141"/>
      <c r="E332" s="140"/>
      <c r="F332" s="144"/>
    </row>
    <row r="333" spans="2:6">
      <c r="B333" s="143"/>
      <c r="C333" s="142"/>
      <c r="D333" s="141"/>
      <c r="E333" s="140"/>
      <c r="F333" s="144"/>
    </row>
    <row r="334" spans="2:6">
      <c r="B334" s="143"/>
      <c r="C334" s="142"/>
      <c r="D334" s="141"/>
      <c r="E334" s="140"/>
      <c r="F334" s="144"/>
    </row>
    <row r="335" spans="2:6">
      <c r="B335" s="143"/>
      <c r="C335" s="142"/>
      <c r="D335" s="141"/>
      <c r="E335" s="140"/>
      <c r="F335" s="144"/>
    </row>
    <row r="336" spans="2:6">
      <c r="B336" s="143"/>
      <c r="C336" s="142"/>
      <c r="D336" s="141"/>
      <c r="E336" s="140"/>
      <c r="F336" s="144"/>
    </row>
    <row r="337" spans="2:6">
      <c r="B337" s="143"/>
      <c r="C337" s="142"/>
      <c r="D337" s="141"/>
      <c r="E337" s="140"/>
      <c r="F337" s="144"/>
    </row>
    <row r="338" spans="2:6">
      <c r="B338" s="143"/>
      <c r="C338" s="142"/>
      <c r="D338" s="141"/>
      <c r="E338" s="140"/>
      <c r="F338" s="144"/>
    </row>
    <row r="339" spans="2:6">
      <c r="B339" s="143"/>
      <c r="C339" s="142"/>
      <c r="D339" s="141"/>
      <c r="E339" s="140"/>
      <c r="F339" s="144"/>
    </row>
    <row r="340" spans="2:6">
      <c r="B340" s="143"/>
      <c r="C340" s="142"/>
      <c r="D340" s="141"/>
      <c r="E340" s="140"/>
      <c r="F340" s="144"/>
    </row>
    <row r="341" spans="2:6">
      <c r="B341" s="143"/>
      <c r="C341" s="142"/>
      <c r="D341" s="141"/>
      <c r="E341" s="140"/>
      <c r="F341" s="144"/>
    </row>
    <row r="342" spans="2:6">
      <c r="B342" s="143"/>
      <c r="C342" s="142"/>
      <c r="D342" s="141"/>
      <c r="E342" s="140"/>
      <c r="F342" s="144"/>
    </row>
    <row r="343" spans="2:6">
      <c r="B343" s="143"/>
      <c r="C343" s="142"/>
      <c r="D343" s="141"/>
      <c r="E343" s="140"/>
      <c r="F343" s="144"/>
    </row>
    <row r="344" spans="2:6">
      <c r="B344" s="143"/>
      <c r="C344" s="142"/>
      <c r="D344" s="141"/>
      <c r="E344" s="140"/>
      <c r="F344" s="144"/>
    </row>
    <row r="345" spans="2:6">
      <c r="B345" s="143"/>
      <c r="C345" s="142"/>
      <c r="D345" s="141"/>
      <c r="E345" s="140"/>
      <c r="F345" s="144"/>
    </row>
    <row r="346" spans="2:6">
      <c r="B346" s="143"/>
      <c r="C346" s="142"/>
      <c r="D346" s="141"/>
      <c r="E346" s="140"/>
      <c r="F346" s="144"/>
    </row>
    <row r="347" spans="2:6">
      <c r="B347" s="143"/>
      <c r="C347" s="142"/>
      <c r="D347" s="141"/>
      <c r="E347" s="140"/>
      <c r="F347" s="144"/>
    </row>
    <row r="348" spans="2:6">
      <c r="B348" s="143"/>
      <c r="C348" s="142"/>
      <c r="D348" s="141"/>
      <c r="E348" s="140"/>
      <c r="F348" s="144"/>
    </row>
    <row r="349" spans="2:6">
      <c r="B349" s="143"/>
      <c r="C349" s="142"/>
      <c r="D349" s="141"/>
      <c r="E349" s="140"/>
      <c r="F349" s="144"/>
    </row>
    <row r="350" spans="2:6">
      <c r="B350" s="143"/>
      <c r="C350" s="142"/>
      <c r="D350" s="141"/>
      <c r="E350" s="140"/>
      <c r="F350" s="144"/>
    </row>
    <row r="351" spans="2:6">
      <c r="B351" s="143"/>
      <c r="C351" s="142"/>
      <c r="D351" s="141"/>
      <c r="E351" s="140"/>
      <c r="F351" s="144"/>
    </row>
    <row r="352" spans="2:6">
      <c r="B352" s="143"/>
      <c r="C352" s="142"/>
      <c r="D352" s="141"/>
      <c r="E352" s="140"/>
      <c r="F352" s="144"/>
    </row>
    <row r="353" spans="2:6">
      <c r="B353" s="143"/>
      <c r="C353" s="142"/>
      <c r="D353" s="141"/>
      <c r="E353" s="140"/>
      <c r="F353" s="144"/>
    </row>
    <row r="354" spans="2:6">
      <c r="B354" s="143"/>
      <c r="C354" s="142"/>
      <c r="D354" s="141"/>
      <c r="E354" s="140"/>
      <c r="F354" s="144"/>
    </row>
    <row r="355" spans="2:6">
      <c r="B355" s="143"/>
      <c r="C355" s="142"/>
      <c r="D355" s="141"/>
      <c r="E355" s="140"/>
      <c r="F355" s="144"/>
    </row>
    <row r="356" spans="2:6">
      <c r="B356" s="143"/>
      <c r="C356" s="142"/>
      <c r="D356" s="141"/>
      <c r="E356" s="140"/>
      <c r="F356" s="144"/>
    </row>
    <row r="357" spans="2:6">
      <c r="B357" s="143"/>
      <c r="C357" s="142"/>
      <c r="D357" s="141"/>
      <c r="E357" s="140"/>
      <c r="F357" s="144"/>
    </row>
    <row r="358" spans="2:6">
      <c r="B358" s="143"/>
      <c r="C358" s="142"/>
      <c r="D358" s="141"/>
      <c r="E358" s="140"/>
      <c r="F358" s="144"/>
    </row>
    <row r="359" spans="2:6">
      <c r="B359" s="143"/>
      <c r="C359" s="142"/>
      <c r="D359" s="141"/>
      <c r="E359" s="140"/>
      <c r="F359" s="144"/>
    </row>
    <row r="360" spans="2:6">
      <c r="B360" s="143"/>
      <c r="C360" s="142"/>
      <c r="D360" s="141"/>
      <c r="E360" s="140"/>
      <c r="F360" s="144"/>
    </row>
    <row r="361" spans="2:6">
      <c r="B361" s="143"/>
      <c r="C361" s="142"/>
      <c r="D361" s="141"/>
      <c r="E361" s="140"/>
      <c r="F361" s="144"/>
    </row>
    <row r="362" spans="2:6">
      <c r="B362" s="143"/>
      <c r="C362" s="142"/>
      <c r="D362" s="141"/>
      <c r="E362" s="140"/>
      <c r="F362" s="144"/>
    </row>
    <row r="363" spans="2:6">
      <c r="B363" s="143"/>
      <c r="C363" s="142"/>
      <c r="D363" s="141"/>
      <c r="E363" s="140"/>
      <c r="F363" s="144"/>
    </row>
    <row r="364" spans="2:6">
      <c r="B364" s="143"/>
      <c r="C364" s="142"/>
      <c r="D364" s="141"/>
      <c r="E364" s="140"/>
      <c r="F364" s="144"/>
    </row>
    <row r="365" spans="2:6">
      <c r="B365" s="143"/>
      <c r="C365" s="142"/>
      <c r="D365" s="141"/>
      <c r="E365" s="140"/>
      <c r="F365" s="144"/>
    </row>
    <row r="366" spans="2:6">
      <c r="B366" s="143"/>
      <c r="C366" s="142"/>
      <c r="D366" s="141"/>
      <c r="E366" s="140"/>
      <c r="F366" s="144"/>
    </row>
    <row r="367" spans="2:6">
      <c r="B367" s="143"/>
      <c r="C367" s="142"/>
      <c r="D367" s="141"/>
      <c r="E367" s="140"/>
      <c r="F367" s="144"/>
    </row>
    <row r="368" spans="2:6">
      <c r="B368" s="143"/>
      <c r="C368" s="142"/>
      <c r="D368" s="141"/>
      <c r="E368" s="140"/>
      <c r="F368" s="144"/>
    </row>
    <row r="369" spans="2:6">
      <c r="B369" s="143"/>
      <c r="C369" s="142"/>
      <c r="D369" s="141"/>
      <c r="E369" s="140"/>
      <c r="F369" s="144"/>
    </row>
    <row r="370" spans="2:6">
      <c r="B370" s="143"/>
      <c r="C370" s="142"/>
      <c r="D370" s="141"/>
      <c r="E370" s="140"/>
      <c r="F370" s="144"/>
    </row>
    <row r="371" spans="2:6">
      <c r="B371" s="143"/>
      <c r="C371" s="142"/>
      <c r="D371" s="141"/>
      <c r="E371" s="140"/>
      <c r="F371" s="144"/>
    </row>
    <row r="372" spans="2:6">
      <c r="B372" s="143"/>
      <c r="C372" s="142"/>
      <c r="D372" s="141"/>
      <c r="E372" s="140"/>
      <c r="F372" s="144"/>
    </row>
    <row r="373" spans="2:6">
      <c r="B373" s="143"/>
      <c r="C373" s="142"/>
      <c r="D373" s="141"/>
      <c r="E373" s="140"/>
      <c r="F373" s="144"/>
    </row>
    <row r="374" spans="2:6">
      <c r="B374" s="143"/>
      <c r="C374" s="142"/>
      <c r="D374" s="141"/>
      <c r="E374" s="140"/>
      <c r="F374" s="144"/>
    </row>
    <row r="375" spans="2:6">
      <c r="B375" s="143"/>
      <c r="C375" s="142"/>
      <c r="D375" s="141"/>
      <c r="E375" s="140"/>
      <c r="F375" s="144"/>
    </row>
    <row r="376" spans="2:6">
      <c r="B376" s="143"/>
      <c r="C376" s="142"/>
      <c r="D376" s="141"/>
      <c r="E376" s="140"/>
      <c r="F376" s="144"/>
    </row>
    <row r="377" spans="2:6">
      <c r="B377" s="143"/>
      <c r="C377" s="142"/>
      <c r="D377" s="141"/>
      <c r="E377" s="140"/>
      <c r="F377" s="144"/>
    </row>
    <row r="378" spans="2:6">
      <c r="B378" s="143"/>
      <c r="C378" s="142"/>
      <c r="D378" s="141"/>
      <c r="E378" s="140"/>
      <c r="F378" s="144"/>
    </row>
    <row r="379" spans="2:6">
      <c r="B379" s="143"/>
      <c r="C379" s="142"/>
      <c r="D379" s="141"/>
      <c r="E379" s="140"/>
      <c r="F379" s="144"/>
    </row>
    <row r="380" spans="2:6">
      <c r="B380" s="143"/>
      <c r="C380" s="142"/>
      <c r="D380" s="141"/>
      <c r="E380" s="140"/>
      <c r="F380" s="144"/>
    </row>
    <row r="381" spans="2:6">
      <c r="B381" s="143"/>
      <c r="C381" s="142"/>
      <c r="D381" s="141"/>
      <c r="E381" s="140"/>
      <c r="F381" s="144"/>
    </row>
    <row r="382" spans="2:6">
      <c r="B382" s="143"/>
      <c r="C382" s="142"/>
      <c r="D382" s="141"/>
      <c r="E382" s="140"/>
      <c r="F382" s="144"/>
    </row>
    <row r="383" spans="2:6">
      <c r="B383" s="143"/>
      <c r="C383" s="142"/>
      <c r="D383" s="141"/>
      <c r="E383" s="140"/>
      <c r="F383" s="144"/>
    </row>
    <row r="384" spans="2:6">
      <c r="B384" s="143"/>
      <c r="C384" s="142"/>
      <c r="D384" s="141"/>
      <c r="E384" s="140"/>
      <c r="F384" s="144"/>
    </row>
    <row r="385" spans="2:6">
      <c r="B385" s="143"/>
      <c r="C385" s="142"/>
      <c r="D385" s="141"/>
      <c r="E385" s="140"/>
      <c r="F385" s="144"/>
    </row>
    <row r="386" spans="2:6">
      <c r="B386" s="143"/>
      <c r="C386" s="142"/>
      <c r="D386" s="141"/>
      <c r="E386" s="140"/>
      <c r="F386" s="144"/>
    </row>
    <row r="387" spans="2:6">
      <c r="B387" s="143"/>
      <c r="C387" s="142"/>
      <c r="D387" s="141"/>
      <c r="E387" s="140"/>
      <c r="F387" s="144"/>
    </row>
    <row r="388" spans="2:6">
      <c r="B388" s="143"/>
      <c r="C388" s="142"/>
      <c r="D388" s="141"/>
      <c r="E388" s="140"/>
      <c r="F388" s="144"/>
    </row>
    <row r="389" spans="2:6">
      <c r="B389" s="143"/>
      <c r="C389" s="142"/>
      <c r="D389" s="141"/>
      <c r="E389" s="140"/>
      <c r="F389" s="144"/>
    </row>
    <row r="390" spans="2:6">
      <c r="B390" s="143"/>
      <c r="C390" s="142"/>
      <c r="D390" s="141"/>
      <c r="E390" s="140"/>
      <c r="F390" s="144"/>
    </row>
    <row r="391" spans="2:6">
      <c r="B391" s="143"/>
      <c r="C391" s="142"/>
      <c r="D391" s="141"/>
      <c r="E391" s="140"/>
      <c r="F391" s="144"/>
    </row>
    <row r="392" spans="2:6">
      <c r="B392" s="143"/>
      <c r="C392" s="142"/>
      <c r="D392" s="141"/>
      <c r="E392" s="140"/>
      <c r="F392" s="144"/>
    </row>
    <row r="393" spans="2:6">
      <c r="B393" s="143"/>
      <c r="C393" s="142"/>
      <c r="D393" s="141"/>
      <c r="E393" s="140"/>
      <c r="F393" s="144"/>
    </row>
    <row r="394" spans="2:6">
      <c r="B394" s="143"/>
      <c r="C394" s="142"/>
      <c r="D394" s="141"/>
      <c r="E394" s="140"/>
      <c r="F394" s="144"/>
    </row>
    <row r="395" spans="2:6">
      <c r="B395" s="143"/>
      <c r="C395" s="142"/>
      <c r="D395" s="141"/>
      <c r="E395" s="140"/>
      <c r="F395" s="144"/>
    </row>
    <row r="396" spans="2:6">
      <c r="B396" s="143"/>
      <c r="C396" s="142"/>
      <c r="D396" s="141"/>
      <c r="E396" s="140"/>
      <c r="F396" s="144"/>
    </row>
    <row r="397" spans="2:6">
      <c r="B397" s="143"/>
      <c r="C397" s="142"/>
      <c r="D397" s="141"/>
      <c r="E397" s="140"/>
      <c r="F397" s="144"/>
    </row>
    <row r="398" spans="2:6">
      <c r="B398" s="143"/>
      <c r="C398" s="142"/>
      <c r="D398" s="141"/>
      <c r="E398" s="140"/>
      <c r="F398" s="144"/>
    </row>
    <row r="399" spans="2:6">
      <c r="B399" s="143"/>
      <c r="C399" s="142"/>
      <c r="D399" s="141"/>
      <c r="E399" s="140"/>
      <c r="F399" s="144"/>
    </row>
    <row r="400" spans="2:6">
      <c r="B400" s="143"/>
      <c r="C400" s="142"/>
      <c r="D400" s="141"/>
      <c r="E400" s="140"/>
      <c r="F400" s="144"/>
    </row>
    <row r="401" spans="2:6">
      <c r="B401" s="143"/>
      <c r="C401" s="142"/>
      <c r="D401" s="141"/>
      <c r="E401" s="140"/>
      <c r="F401" s="144"/>
    </row>
    <row r="402" spans="2:6">
      <c r="B402" s="143"/>
      <c r="C402" s="142"/>
      <c r="D402" s="141"/>
      <c r="E402" s="140"/>
      <c r="F402" s="144"/>
    </row>
    <row r="403" spans="2:6">
      <c r="B403" s="143"/>
      <c r="C403" s="142"/>
      <c r="D403" s="141"/>
      <c r="E403" s="140"/>
      <c r="F403" s="144"/>
    </row>
    <row r="404" spans="2:6">
      <c r="B404" s="143"/>
      <c r="C404" s="142"/>
      <c r="D404" s="141"/>
      <c r="E404" s="140"/>
      <c r="F404" s="144"/>
    </row>
    <row r="405" spans="2:6">
      <c r="B405" s="143"/>
      <c r="C405" s="142"/>
      <c r="D405" s="141"/>
      <c r="E405" s="140"/>
      <c r="F405" s="144"/>
    </row>
    <row r="406" spans="2:6">
      <c r="B406" s="143"/>
      <c r="C406" s="142"/>
      <c r="D406" s="141"/>
      <c r="E406" s="140"/>
      <c r="F406" s="144"/>
    </row>
    <row r="407" spans="2:6">
      <c r="B407" s="143"/>
      <c r="C407" s="142"/>
      <c r="D407" s="141"/>
      <c r="E407" s="140"/>
      <c r="F407" s="144"/>
    </row>
    <row r="408" spans="2:6">
      <c r="B408" s="143"/>
      <c r="C408" s="142"/>
      <c r="D408" s="141"/>
      <c r="E408" s="140"/>
      <c r="F408" s="144"/>
    </row>
    <row r="409" spans="2:6">
      <c r="B409" s="143"/>
      <c r="C409" s="142"/>
      <c r="D409" s="141"/>
      <c r="E409" s="140"/>
      <c r="F409" s="144"/>
    </row>
    <row r="410" spans="2:6">
      <c r="B410" s="143"/>
      <c r="C410" s="142"/>
      <c r="D410" s="141"/>
      <c r="E410" s="140"/>
      <c r="F410" s="144"/>
    </row>
    <row r="411" spans="2:6">
      <c r="B411" s="143"/>
      <c r="C411" s="142"/>
      <c r="D411" s="141"/>
      <c r="E411" s="140"/>
      <c r="F411" s="144"/>
    </row>
    <row r="412" spans="2:6">
      <c r="B412" s="143"/>
      <c r="C412" s="142"/>
      <c r="D412" s="141"/>
      <c r="E412" s="140"/>
      <c r="F412" s="144"/>
    </row>
    <row r="413" spans="2:6">
      <c r="B413" s="143"/>
      <c r="C413" s="142"/>
      <c r="D413" s="141"/>
      <c r="E413" s="140"/>
      <c r="F413" s="144"/>
    </row>
    <row r="414" spans="2:6">
      <c r="B414" s="143"/>
      <c r="C414" s="142"/>
      <c r="D414" s="141"/>
      <c r="E414" s="140"/>
      <c r="F414" s="144"/>
    </row>
    <row r="415" spans="2:6">
      <c r="B415" s="143"/>
      <c r="C415" s="142"/>
      <c r="D415" s="141"/>
      <c r="E415" s="140"/>
      <c r="F415" s="144"/>
    </row>
    <row r="416" spans="2:6">
      <c r="B416" s="143"/>
      <c r="C416" s="142"/>
      <c r="D416" s="141"/>
      <c r="E416" s="140"/>
      <c r="F416" s="144"/>
    </row>
    <row r="417" spans="2:6">
      <c r="B417" s="143"/>
      <c r="C417" s="142"/>
      <c r="D417" s="141"/>
      <c r="E417" s="140"/>
      <c r="F417" s="144"/>
    </row>
    <row r="418" spans="2:6">
      <c r="B418" s="143"/>
      <c r="C418" s="142"/>
      <c r="D418" s="141"/>
      <c r="E418" s="140"/>
      <c r="F418" s="144"/>
    </row>
    <row r="419" spans="2:6">
      <c r="B419" s="143"/>
      <c r="C419" s="142"/>
      <c r="D419" s="141"/>
      <c r="E419" s="140"/>
      <c r="F419" s="144"/>
    </row>
    <row r="420" spans="2:6">
      <c r="B420" s="143"/>
      <c r="C420" s="142"/>
      <c r="D420" s="141"/>
      <c r="E420" s="140"/>
      <c r="F420" s="144"/>
    </row>
    <row r="421" spans="2:6">
      <c r="B421" s="143"/>
      <c r="C421" s="142"/>
      <c r="D421" s="141"/>
      <c r="E421" s="140"/>
      <c r="F421" s="144"/>
    </row>
    <row r="422" spans="2:6">
      <c r="B422" s="143"/>
      <c r="C422" s="142"/>
      <c r="D422" s="141"/>
      <c r="E422" s="140"/>
      <c r="F422" s="144"/>
    </row>
    <row r="423" spans="2:6">
      <c r="B423" s="143"/>
      <c r="C423" s="142"/>
      <c r="D423" s="141"/>
      <c r="E423" s="140"/>
      <c r="F423" s="144"/>
    </row>
    <row r="424" spans="2:6">
      <c r="B424" s="143"/>
      <c r="C424" s="142"/>
      <c r="D424" s="141"/>
      <c r="E424" s="140"/>
      <c r="F424" s="144"/>
    </row>
    <row r="425" spans="2:6">
      <c r="B425" s="143"/>
      <c r="C425" s="142"/>
      <c r="D425" s="141"/>
      <c r="E425" s="140"/>
      <c r="F425" s="144"/>
    </row>
    <row r="426" spans="2:6">
      <c r="B426" s="143"/>
      <c r="C426" s="142"/>
      <c r="D426" s="141"/>
      <c r="E426" s="140"/>
      <c r="F426" s="144"/>
    </row>
    <row r="427" spans="2:6">
      <c r="B427" s="143"/>
      <c r="C427" s="142"/>
      <c r="D427" s="141"/>
      <c r="E427" s="140"/>
      <c r="F427" s="144"/>
    </row>
    <row r="428" spans="2:6">
      <c r="B428" s="143"/>
      <c r="C428" s="142"/>
      <c r="D428" s="141"/>
      <c r="E428" s="140"/>
      <c r="F428" s="144"/>
    </row>
    <row r="429" spans="2:6">
      <c r="B429" s="143"/>
      <c r="C429" s="142"/>
      <c r="D429" s="141"/>
      <c r="E429" s="140"/>
      <c r="F429" s="144"/>
    </row>
    <row r="430" spans="2:6">
      <c r="B430" s="143"/>
      <c r="C430" s="142"/>
      <c r="D430" s="141"/>
      <c r="E430" s="140"/>
      <c r="F430" s="144"/>
    </row>
    <row r="431" spans="2:6">
      <c r="B431" s="143"/>
      <c r="C431" s="142"/>
      <c r="D431" s="141"/>
      <c r="E431" s="140"/>
      <c r="F431" s="144"/>
    </row>
    <row r="432" spans="2:6">
      <c r="B432" s="143"/>
      <c r="C432" s="142"/>
      <c r="D432" s="141"/>
      <c r="E432" s="140"/>
      <c r="F432" s="144"/>
    </row>
    <row r="433" spans="2:6">
      <c r="B433" s="143"/>
      <c r="C433" s="142"/>
      <c r="D433" s="141"/>
      <c r="E433" s="140"/>
      <c r="F433" s="144"/>
    </row>
    <row r="434" spans="2:6">
      <c r="B434" s="143"/>
      <c r="C434" s="142"/>
      <c r="D434" s="141"/>
      <c r="E434" s="140"/>
      <c r="F434" s="144"/>
    </row>
    <row r="435" spans="2:6">
      <c r="B435" s="143"/>
      <c r="C435" s="142"/>
      <c r="D435" s="141"/>
      <c r="E435" s="140"/>
      <c r="F435" s="144"/>
    </row>
    <row r="436" spans="2:6">
      <c r="B436" s="143"/>
      <c r="C436" s="142"/>
      <c r="D436" s="141"/>
      <c r="E436" s="140"/>
      <c r="F436" s="144"/>
    </row>
    <row r="437" spans="2:6">
      <c r="B437" s="143"/>
      <c r="C437" s="142"/>
      <c r="D437" s="141"/>
      <c r="E437" s="140"/>
      <c r="F437" s="144"/>
    </row>
    <row r="438" spans="2:6">
      <c r="B438" s="143"/>
      <c r="C438" s="142"/>
      <c r="D438" s="141"/>
      <c r="E438" s="140"/>
      <c r="F438" s="144"/>
    </row>
    <row r="439" spans="2:6">
      <c r="B439" s="143"/>
      <c r="C439" s="142"/>
      <c r="D439" s="141"/>
      <c r="E439" s="140"/>
      <c r="F439" s="144"/>
    </row>
    <row r="440" spans="2:6">
      <c r="B440" s="143"/>
      <c r="C440" s="142"/>
      <c r="D440" s="141"/>
      <c r="E440" s="140"/>
      <c r="F440" s="144"/>
    </row>
    <row r="441" spans="2:6">
      <c r="B441" s="143"/>
      <c r="C441" s="142"/>
      <c r="D441" s="141"/>
      <c r="E441" s="140"/>
      <c r="F441" s="144"/>
    </row>
    <row r="442" spans="2:6">
      <c r="B442" s="143"/>
      <c r="C442" s="142"/>
      <c r="D442" s="141"/>
      <c r="E442" s="140"/>
      <c r="F442" s="144"/>
    </row>
    <row r="443" spans="2:6">
      <c r="B443" s="143"/>
      <c r="C443" s="142"/>
      <c r="D443" s="141"/>
      <c r="E443" s="140"/>
      <c r="F443" s="144"/>
    </row>
    <row r="444" spans="2:6">
      <c r="B444" s="143"/>
      <c r="C444" s="142"/>
      <c r="D444" s="141"/>
      <c r="E444" s="140"/>
      <c r="F444" s="144"/>
    </row>
    <row r="445" spans="2:6">
      <c r="B445" s="143"/>
      <c r="C445" s="142"/>
      <c r="D445" s="141"/>
      <c r="E445" s="140"/>
      <c r="F445" s="144"/>
    </row>
    <row r="446" spans="2:6">
      <c r="B446" s="143"/>
      <c r="C446" s="142"/>
      <c r="D446" s="141"/>
      <c r="E446" s="140"/>
      <c r="F446" s="144"/>
    </row>
    <row r="447" spans="2:6">
      <c r="B447" s="143"/>
      <c r="C447" s="142"/>
      <c r="D447" s="141"/>
      <c r="E447" s="140"/>
      <c r="F447" s="144"/>
    </row>
    <row r="448" spans="2:6">
      <c r="B448" s="143"/>
      <c r="C448" s="142"/>
      <c r="D448" s="141"/>
      <c r="E448" s="140"/>
      <c r="F448" s="144"/>
    </row>
    <row r="449" spans="2:6">
      <c r="B449" s="143"/>
      <c r="C449" s="142"/>
      <c r="D449" s="141"/>
      <c r="E449" s="140"/>
      <c r="F449" s="144"/>
    </row>
    <row r="450" spans="2:6">
      <c r="B450" s="143"/>
      <c r="C450" s="142"/>
      <c r="D450" s="141"/>
      <c r="E450" s="140"/>
      <c r="F450" s="144"/>
    </row>
    <row r="451" spans="2:6">
      <c r="B451" s="143"/>
      <c r="C451" s="142"/>
      <c r="D451" s="141"/>
      <c r="E451" s="140"/>
      <c r="F451" s="144"/>
    </row>
    <row r="452" spans="2:6">
      <c r="B452" s="143"/>
      <c r="C452" s="142"/>
      <c r="D452" s="141"/>
      <c r="E452" s="140"/>
      <c r="F452" s="144"/>
    </row>
    <row r="453" spans="2:6">
      <c r="B453" s="143"/>
      <c r="C453" s="142"/>
      <c r="D453" s="141"/>
      <c r="E453" s="140"/>
      <c r="F453" s="144"/>
    </row>
    <row r="454" spans="2:6">
      <c r="B454" s="143"/>
      <c r="C454" s="142"/>
      <c r="D454" s="141"/>
      <c r="E454" s="140"/>
      <c r="F454" s="144"/>
    </row>
    <row r="455" spans="2:6">
      <c r="B455" s="143"/>
      <c r="C455" s="142"/>
      <c r="D455" s="141"/>
      <c r="E455" s="140"/>
      <c r="F455" s="144"/>
    </row>
    <row r="456" spans="2:6">
      <c r="B456" s="143"/>
      <c r="C456" s="142"/>
      <c r="D456" s="141"/>
      <c r="E456" s="140"/>
      <c r="F456" s="144"/>
    </row>
    <row r="457" spans="2:6">
      <c r="B457" s="143"/>
      <c r="C457" s="142"/>
      <c r="D457" s="141"/>
      <c r="E457" s="140"/>
      <c r="F457" s="144"/>
    </row>
    <row r="458" spans="2:6">
      <c r="B458" s="143"/>
      <c r="C458" s="142"/>
      <c r="D458" s="141"/>
      <c r="E458" s="140"/>
      <c r="F458" s="144"/>
    </row>
    <row r="459" spans="2:6">
      <c r="B459" s="143"/>
      <c r="C459" s="142"/>
      <c r="D459" s="141"/>
      <c r="E459" s="140"/>
      <c r="F459" s="144"/>
    </row>
    <row r="460" spans="2:6">
      <c r="B460" s="143"/>
      <c r="C460" s="142"/>
      <c r="D460" s="141"/>
      <c r="E460" s="140"/>
      <c r="F460" s="144"/>
    </row>
    <row r="461" spans="2:6">
      <c r="B461" s="143"/>
      <c r="C461" s="142"/>
      <c r="D461" s="141"/>
      <c r="E461" s="140"/>
      <c r="F461" s="144"/>
    </row>
    <row r="462" spans="2:6">
      <c r="B462" s="143"/>
      <c r="C462" s="142"/>
      <c r="D462" s="141"/>
      <c r="E462" s="140"/>
      <c r="F462" s="144"/>
    </row>
    <row r="463" spans="2:6">
      <c r="B463" s="143"/>
      <c r="C463" s="142"/>
      <c r="D463" s="141"/>
      <c r="E463" s="140"/>
      <c r="F463" s="144"/>
    </row>
    <row r="464" spans="2:6">
      <c r="B464" s="143"/>
      <c r="C464" s="142"/>
      <c r="D464" s="141"/>
      <c r="E464" s="140"/>
      <c r="F464" s="144"/>
    </row>
    <row r="465" spans="2:6">
      <c r="B465" s="143"/>
      <c r="C465" s="142"/>
      <c r="D465" s="141"/>
      <c r="E465" s="140"/>
      <c r="F465" s="144"/>
    </row>
    <row r="466" spans="2:6">
      <c r="B466" s="143"/>
      <c r="C466" s="142"/>
      <c r="D466" s="141"/>
      <c r="E466" s="140"/>
      <c r="F466" s="144"/>
    </row>
    <row r="467" spans="2:6">
      <c r="B467" s="143"/>
      <c r="C467" s="142"/>
      <c r="D467" s="141"/>
      <c r="E467" s="140"/>
      <c r="F467" s="144"/>
    </row>
    <row r="468" spans="2:6">
      <c r="B468" s="143"/>
      <c r="C468" s="142"/>
      <c r="D468" s="141"/>
      <c r="E468" s="140"/>
      <c r="F468" s="144"/>
    </row>
    <row r="469" spans="2:6">
      <c r="B469" s="143"/>
      <c r="C469" s="142"/>
      <c r="D469" s="141"/>
      <c r="E469" s="140"/>
      <c r="F469" s="144"/>
    </row>
    <row r="470" spans="2:6">
      <c r="B470" s="143"/>
      <c r="C470" s="142"/>
      <c r="D470" s="141"/>
      <c r="E470" s="140"/>
      <c r="F470" s="144"/>
    </row>
    <row r="471" spans="2:6">
      <c r="B471" s="143"/>
      <c r="C471" s="142"/>
      <c r="D471" s="141"/>
      <c r="E471" s="140"/>
      <c r="F471" s="144"/>
    </row>
    <row r="472" spans="2:6">
      <c r="B472" s="143"/>
      <c r="C472" s="142"/>
      <c r="D472" s="141"/>
      <c r="E472" s="140"/>
      <c r="F472" s="144"/>
    </row>
    <row r="473" spans="2:6">
      <c r="B473" s="143"/>
      <c r="C473" s="142"/>
      <c r="D473" s="141"/>
      <c r="E473" s="140"/>
      <c r="F473" s="144"/>
    </row>
    <row r="474" spans="2:6">
      <c r="B474" s="143"/>
      <c r="C474" s="142"/>
      <c r="D474" s="141"/>
      <c r="E474" s="140"/>
      <c r="F474" s="144"/>
    </row>
    <row r="475" spans="2:6">
      <c r="B475" s="143"/>
      <c r="C475" s="142"/>
      <c r="D475" s="141"/>
      <c r="E475" s="140"/>
      <c r="F475" s="144"/>
    </row>
    <row r="476" spans="2:6">
      <c r="B476" s="143"/>
      <c r="C476" s="142"/>
      <c r="D476" s="141"/>
      <c r="E476" s="140"/>
      <c r="F476" s="144"/>
    </row>
    <row r="477" spans="2:6">
      <c r="B477" s="143"/>
      <c r="C477" s="142"/>
      <c r="D477" s="141"/>
      <c r="E477" s="140"/>
      <c r="F477" s="144"/>
    </row>
    <row r="478" spans="2:6">
      <c r="B478" s="143"/>
      <c r="C478" s="142"/>
      <c r="D478" s="141"/>
      <c r="E478" s="140"/>
      <c r="F478" s="144"/>
    </row>
    <row r="479" spans="2:6">
      <c r="B479" s="143"/>
      <c r="C479" s="142"/>
      <c r="D479" s="141"/>
      <c r="E479" s="140"/>
      <c r="F479" s="144"/>
    </row>
    <row r="480" spans="2:6">
      <c r="B480" s="143"/>
      <c r="C480" s="142"/>
      <c r="D480" s="141"/>
      <c r="E480" s="140"/>
      <c r="F480" s="144"/>
    </row>
    <row r="481" spans="2:6">
      <c r="B481" s="143"/>
      <c r="C481" s="142"/>
      <c r="D481" s="141"/>
      <c r="E481" s="140"/>
      <c r="F481" s="144"/>
    </row>
    <row r="482" spans="2:6">
      <c r="B482" s="143"/>
      <c r="C482" s="142"/>
      <c r="D482" s="141"/>
      <c r="E482" s="140"/>
      <c r="F482" s="144"/>
    </row>
    <row r="483" spans="2:6">
      <c r="B483" s="143"/>
      <c r="C483" s="142"/>
      <c r="D483" s="141"/>
      <c r="E483" s="140"/>
      <c r="F483" s="144"/>
    </row>
    <row r="484" spans="2:6">
      <c r="B484" s="143"/>
      <c r="C484" s="142"/>
      <c r="D484" s="141"/>
      <c r="E484" s="140"/>
      <c r="F484" s="144"/>
    </row>
    <row r="485" spans="2:6">
      <c r="B485" s="143"/>
      <c r="C485" s="142"/>
      <c r="D485" s="141"/>
      <c r="E485" s="140"/>
      <c r="F485" s="144"/>
    </row>
    <row r="486" spans="2:6">
      <c r="B486" s="143"/>
      <c r="C486" s="142"/>
      <c r="D486" s="141"/>
      <c r="E486" s="140"/>
      <c r="F486" s="144"/>
    </row>
    <row r="487" spans="2:6">
      <c r="B487" s="143"/>
      <c r="C487" s="142"/>
      <c r="D487" s="141"/>
      <c r="E487" s="140"/>
      <c r="F487" s="144"/>
    </row>
    <row r="488" spans="2:6">
      <c r="B488" s="143"/>
      <c r="C488" s="142"/>
      <c r="D488" s="141"/>
      <c r="E488" s="140"/>
      <c r="F488" s="144"/>
    </row>
    <row r="489" spans="2:6">
      <c r="B489" s="143"/>
      <c r="C489" s="142"/>
      <c r="D489" s="141"/>
      <c r="E489" s="140"/>
      <c r="F489" s="144"/>
    </row>
    <row r="490" spans="2:6">
      <c r="B490" s="143"/>
      <c r="C490" s="142"/>
      <c r="D490" s="141"/>
      <c r="E490" s="140"/>
      <c r="F490" s="144"/>
    </row>
    <row r="491" spans="2:6">
      <c r="B491" s="143"/>
      <c r="C491" s="142"/>
      <c r="D491" s="141"/>
      <c r="E491" s="140"/>
      <c r="F491" s="144"/>
    </row>
    <row r="492" spans="2:6">
      <c r="B492" s="143"/>
      <c r="C492" s="142"/>
      <c r="D492" s="141"/>
      <c r="E492" s="140"/>
      <c r="F492" s="144"/>
    </row>
    <row r="493" spans="2:6">
      <c r="B493" s="143"/>
      <c r="C493" s="142"/>
      <c r="D493" s="141"/>
      <c r="E493" s="140"/>
      <c r="F493" s="144"/>
    </row>
    <row r="494" spans="2:6">
      <c r="B494" s="143"/>
      <c r="C494" s="142"/>
      <c r="D494" s="141"/>
      <c r="E494" s="140"/>
      <c r="F494" s="144"/>
    </row>
    <row r="495" spans="2:6">
      <c r="B495" s="143"/>
      <c r="C495" s="142"/>
      <c r="D495" s="141"/>
      <c r="E495" s="140"/>
      <c r="F495" s="144"/>
    </row>
    <row r="496" spans="2:6">
      <c r="B496" s="143"/>
      <c r="C496" s="142"/>
      <c r="D496" s="141"/>
      <c r="E496" s="140"/>
      <c r="F496" s="144"/>
    </row>
    <row r="497" spans="2:6">
      <c r="B497" s="143"/>
      <c r="C497" s="142"/>
      <c r="D497" s="141"/>
      <c r="E497" s="140"/>
      <c r="F497" s="144"/>
    </row>
    <row r="498" spans="2:6">
      <c r="B498" s="143"/>
      <c r="C498" s="142"/>
      <c r="D498" s="141"/>
      <c r="E498" s="140"/>
      <c r="F498" s="144"/>
    </row>
    <row r="499" spans="2:6">
      <c r="B499" s="143"/>
      <c r="C499" s="142"/>
      <c r="D499" s="141"/>
      <c r="E499" s="140"/>
      <c r="F499" s="144"/>
    </row>
    <row r="500" spans="2:6">
      <c r="B500" s="143"/>
      <c r="C500" s="142"/>
      <c r="D500" s="141"/>
      <c r="E500" s="140"/>
      <c r="F500" s="144"/>
    </row>
    <row r="501" spans="2:6">
      <c r="B501" s="143"/>
      <c r="C501" s="142"/>
      <c r="D501" s="141"/>
      <c r="E501" s="140"/>
      <c r="F501" s="144"/>
    </row>
    <row r="502" spans="2:6">
      <c r="B502" s="143"/>
      <c r="C502" s="142"/>
      <c r="D502" s="141"/>
      <c r="E502" s="140"/>
      <c r="F502" s="144"/>
    </row>
    <row r="503" spans="2:6">
      <c r="B503" s="143"/>
      <c r="C503" s="142"/>
      <c r="D503" s="141"/>
      <c r="E503" s="140"/>
      <c r="F503" s="144"/>
    </row>
    <row r="504" spans="2:6">
      <c r="B504" s="143"/>
      <c r="C504" s="142"/>
      <c r="D504" s="141"/>
      <c r="E504" s="140"/>
      <c r="F504" s="144"/>
    </row>
    <row r="505" spans="2:6">
      <c r="B505" s="143"/>
      <c r="C505" s="142"/>
      <c r="D505" s="141"/>
      <c r="E505" s="140"/>
      <c r="F505" s="144"/>
    </row>
    <row r="506" spans="2:6">
      <c r="B506" s="143"/>
      <c r="C506" s="142"/>
      <c r="D506" s="141"/>
      <c r="E506" s="140"/>
      <c r="F506" s="144"/>
    </row>
    <row r="507" spans="2:6">
      <c r="B507" s="143"/>
      <c r="C507" s="142"/>
      <c r="D507" s="141"/>
      <c r="E507" s="140"/>
      <c r="F507" s="144"/>
    </row>
    <row r="508" spans="2:6">
      <c r="B508" s="143"/>
      <c r="C508" s="142"/>
      <c r="D508" s="141"/>
      <c r="E508" s="140"/>
      <c r="F508" s="144"/>
    </row>
    <row r="509" spans="2:6">
      <c r="B509" s="143"/>
      <c r="C509" s="142"/>
      <c r="D509" s="141"/>
      <c r="E509" s="140"/>
      <c r="F509" s="144"/>
    </row>
    <row r="510" spans="2:6">
      <c r="B510" s="143"/>
      <c r="C510" s="142"/>
      <c r="D510" s="141"/>
      <c r="E510" s="140"/>
      <c r="F510" s="144"/>
    </row>
    <row r="511" spans="2:6">
      <c r="B511" s="143"/>
      <c r="C511" s="142"/>
      <c r="D511" s="141"/>
      <c r="E511" s="140"/>
      <c r="F511" s="144"/>
    </row>
    <row r="512" spans="2:6">
      <c r="B512" s="143"/>
      <c r="C512" s="142"/>
      <c r="D512" s="141"/>
      <c r="E512" s="140"/>
      <c r="F512" s="144"/>
    </row>
    <row r="513" spans="2:6">
      <c r="B513" s="143"/>
      <c r="C513" s="142"/>
      <c r="D513" s="141"/>
      <c r="E513" s="140"/>
      <c r="F513" s="144"/>
    </row>
    <row r="514" spans="2:6">
      <c r="B514" s="143"/>
      <c r="C514" s="142"/>
      <c r="D514" s="141"/>
      <c r="E514" s="140"/>
      <c r="F514" s="144"/>
    </row>
    <row r="515" spans="2:6">
      <c r="B515" s="143"/>
      <c r="C515" s="142"/>
      <c r="D515" s="141"/>
      <c r="E515" s="140"/>
      <c r="F515" s="144"/>
    </row>
    <row r="516" spans="2:6">
      <c r="B516" s="143"/>
      <c r="C516" s="142"/>
      <c r="D516" s="141"/>
      <c r="E516" s="140"/>
      <c r="F516" s="144"/>
    </row>
    <row r="517" spans="2:6">
      <c r="B517" s="143"/>
      <c r="C517" s="142"/>
      <c r="D517" s="141"/>
      <c r="E517" s="140"/>
      <c r="F517" s="144"/>
    </row>
    <row r="518" spans="2:6">
      <c r="B518" s="143"/>
      <c r="C518" s="142"/>
      <c r="D518" s="141"/>
      <c r="E518" s="140"/>
      <c r="F518" s="144"/>
    </row>
    <row r="519" spans="2:6">
      <c r="B519" s="143"/>
      <c r="C519" s="142"/>
      <c r="D519" s="141"/>
      <c r="E519" s="140"/>
      <c r="F519" s="144"/>
    </row>
    <row r="520" spans="2:6">
      <c r="B520" s="143"/>
      <c r="C520" s="142"/>
      <c r="D520" s="141"/>
      <c r="E520" s="140"/>
      <c r="F520" s="144"/>
    </row>
    <row r="521" spans="2:6">
      <c r="B521" s="143"/>
      <c r="C521" s="142"/>
      <c r="D521" s="141"/>
      <c r="E521" s="140"/>
      <c r="F521" s="144"/>
    </row>
    <row r="522" spans="2:6">
      <c r="B522" s="143"/>
      <c r="C522" s="142"/>
      <c r="D522" s="141"/>
      <c r="E522" s="140"/>
      <c r="F522" s="144"/>
    </row>
    <row r="523" spans="2:6">
      <c r="B523" s="143"/>
      <c r="C523" s="142"/>
      <c r="D523" s="141"/>
      <c r="E523" s="140"/>
      <c r="F523" s="144"/>
    </row>
    <row r="524" spans="2:6">
      <c r="B524" s="143"/>
      <c r="C524" s="142"/>
      <c r="D524" s="141"/>
      <c r="E524" s="140"/>
      <c r="F524" s="144"/>
    </row>
    <row r="525" spans="2:6">
      <c r="B525" s="143"/>
      <c r="C525" s="142"/>
      <c r="D525" s="141"/>
      <c r="E525" s="140"/>
      <c r="F525" s="144"/>
    </row>
    <row r="526" spans="2:6">
      <c r="B526" s="143"/>
      <c r="C526" s="142"/>
      <c r="D526" s="141"/>
      <c r="E526" s="140"/>
      <c r="F526" s="144"/>
    </row>
    <row r="527" spans="2:6">
      <c r="B527" s="143"/>
      <c r="C527" s="142"/>
      <c r="D527" s="141"/>
      <c r="E527" s="140"/>
      <c r="F527" s="144"/>
    </row>
    <row r="528" spans="2:6">
      <c r="B528" s="143"/>
      <c r="C528" s="142"/>
      <c r="D528" s="141"/>
      <c r="E528" s="140"/>
      <c r="F528" s="144"/>
    </row>
    <row r="529" spans="2:6">
      <c r="B529" s="143"/>
      <c r="C529" s="142"/>
      <c r="D529" s="141"/>
      <c r="E529" s="140"/>
      <c r="F529" s="144"/>
    </row>
    <row r="530" spans="2:6">
      <c r="B530" s="143"/>
      <c r="C530" s="142"/>
      <c r="D530" s="141"/>
      <c r="E530" s="140"/>
      <c r="F530" s="144"/>
    </row>
    <row r="531" spans="2:6">
      <c r="B531" s="143"/>
      <c r="C531" s="142"/>
      <c r="D531" s="141"/>
      <c r="E531" s="140"/>
      <c r="F531" s="144"/>
    </row>
    <row r="532" spans="2:6">
      <c r="B532" s="143"/>
      <c r="C532" s="142"/>
      <c r="D532" s="141"/>
      <c r="E532" s="140"/>
      <c r="F532" s="144"/>
    </row>
    <row r="533" spans="2:6">
      <c r="B533" s="143"/>
      <c r="C533" s="142"/>
      <c r="D533" s="141"/>
      <c r="E533" s="140"/>
      <c r="F533" s="144"/>
    </row>
    <row r="534" spans="2:6">
      <c r="B534" s="143"/>
      <c r="C534" s="142"/>
      <c r="D534" s="141"/>
      <c r="E534" s="140"/>
      <c r="F534" s="144"/>
    </row>
    <row r="535" spans="2:6">
      <c r="B535" s="143"/>
      <c r="C535" s="142"/>
      <c r="D535" s="141"/>
      <c r="E535" s="140"/>
      <c r="F535" s="144"/>
    </row>
    <row r="536" spans="2:6">
      <c r="B536" s="143"/>
      <c r="C536" s="142"/>
      <c r="D536" s="141"/>
      <c r="E536" s="140"/>
      <c r="F536" s="144"/>
    </row>
    <row r="537" spans="2:6">
      <c r="B537" s="143"/>
      <c r="C537" s="142"/>
      <c r="D537" s="141"/>
      <c r="E537" s="140"/>
      <c r="F537" s="144"/>
    </row>
    <row r="538" spans="2:6">
      <c r="B538" s="143"/>
      <c r="C538" s="142"/>
      <c r="D538" s="141"/>
      <c r="E538" s="140"/>
      <c r="F538" s="144"/>
    </row>
    <row r="539" spans="2:6">
      <c r="B539" s="143"/>
      <c r="C539" s="142"/>
      <c r="D539" s="141"/>
      <c r="E539" s="140"/>
      <c r="F539" s="144"/>
    </row>
    <row r="540" spans="2:6">
      <c r="B540" s="143"/>
      <c r="C540" s="142"/>
      <c r="D540" s="141"/>
      <c r="E540" s="140"/>
      <c r="F540" s="144"/>
    </row>
    <row r="541" spans="2:6">
      <c r="B541" s="143"/>
      <c r="C541" s="142"/>
      <c r="D541" s="141"/>
      <c r="E541" s="140"/>
      <c r="F541" s="144"/>
    </row>
    <row r="542" spans="2:6">
      <c r="B542" s="143"/>
      <c r="C542" s="142"/>
      <c r="D542" s="141"/>
      <c r="E542" s="140"/>
      <c r="F542" s="144"/>
    </row>
    <row r="543" spans="2:6">
      <c r="B543" s="143"/>
      <c r="C543" s="142"/>
      <c r="D543" s="141"/>
      <c r="E543" s="140"/>
      <c r="F543" s="144"/>
    </row>
    <row r="544" spans="2:6">
      <c r="B544" s="143"/>
      <c r="C544" s="142"/>
      <c r="D544" s="141"/>
      <c r="E544" s="140"/>
      <c r="F544" s="144"/>
    </row>
    <row r="545" spans="2:6">
      <c r="B545" s="143"/>
      <c r="C545" s="142"/>
      <c r="D545" s="141"/>
      <c r="E545" s="140"/>
      <c r="F545" s="144"/>
    </row>
    <row r="546" spans="2:6">
      <c r="B546" s="143"/>
      <c r="C546" s="142"/>
      <c r="D546" s="141"/>
      <c r="E546" s="140"/>
      <c r="F546" s="144"/>
    </row>
    <row r="547" spans="2:6">
      <c r="B547" s="143"/>
      <c r="C547" s="142"/>
      <c r="D547" s="141"/>
      <c r="E547" s="140"/>
      <c r="F547" s="144"/>
    </row>
    <row r="548" spans="2:6">
      <c r="B548" s="143"/>
      <c r="C548" s="142"/>
      <c r="D548" s="141"/>
      <c r="E548" s="140"/>
      <c r="F548" s="144"/>
    </row>
    <row r="549" spans="2:6">
      <c r="B549" s="143"/>
      <c r="C549" s="142"/>
      <c r="D549" s="141"/>
      <c r="E549" s="140"/>
      <c r="F549" s="144"/>
    </row>
    <row r="550" spans="2:6">
      <c r="B550" s="143"/>
      <c r="C550" s="142"/>
      <c r="D550" s="141"/>
      <c r="E550" s="140"/>
      <c r="F550" s="144"/>
    </row>
    <row r="551" spans="2:6">
      <c r="B551" s="143"/>
      <c r="C551" s="142"/>
      <c r="D551" s="141"/>
      <c r="E551" s="140"/>
      <c r="F551" s="144"/>
    </row>
    <row r="552" spans="2:6">
      <c r="B552" s="143"/>
      <c r="C552" s="142"/>
      <c r="D552" s="141"/>
      <c r="E552" s="140"/>
      <c r="F552" s="144"/>
    </row>
    <row r="553" spans="2:6">
      <c r="B553" s="143"/>
      <c r="C553" s="142"/>
      <c r="D553" s="141"/>
      <c r="E553" s="140"/>
      <c r="F553" s="144"/>
    </row>
    <row r="554" spans="2:6">
      <c r="B554" s="143"/>
      <c r="C554" s="142"/>
      <c r="D554" s="141"/>
      <c r="E554" s="140"/>
      <c r="F554" s="144"/>
    </row>
    <row r="555" spans="2:6">
      <c r="B555" s="143"/>
      <c r="C555" s="142"/>
      <c r="D555" s="141"/>
      <c r="E555" s="140"/>
      <c r="F555" s="144"/>
    </row>
    <row r="556" spans="2:6">
      <c r="B556" s="143"/>
      <c r="C556" s="142"/>
      <c r="D556" s="141"/>
      <c r="E556" s="140"/>
      <c r="F556" s="144"/>
    </row>
    <row r="557" spans="2:6">
      <c r="B557" s="143"/>
      <c r="C557" s="142"/>
      <c r="D557" s="141"/>
      <c r="E557" s="140"/>
      <c r="F557" s="144"/>
    </row>
    <row r="558" spans="2:6">
      <c r="B558" s="143"/>
      <c r="C558" s="142"/>
      <c r="D558" s="141"/>
      <c r="E558" s="140"/>
      <c r="F558" s="144"/>
    </row>
    <row r="559" spans="2:6">
      <c r="B559" s="143"/>
      <c r="C559" s="142"/>
      <c r="D559" s="141"/>
      <c r="E559" s="140"/>
      <c r="F559" s="144"/>
    </row>
    <row r="560" spans="2:6">
      <c r="B560" s="143"/>
      <c r="C560" s="142"/>
      <c r="D560" s="141"/>
      <c r="E560" s="140"/>
      <c r="F560" s="144"/>
    </row>
    <row r="561" spans="2:6">
      <c r="B561" s="143"/>
      <c r="C561" s="142"/>
      <c r="D561" s="141"/>
      <c r="E561" s="140"/>
      <c r="F561" s="144"/>
    </row>
    <row r="562" spans="2:6">
      <c r="B562" s="143"/>
      <c r="C562" s="142"/>
      <c r="D562" s="141"/>
      <c r="E562" s="140"/>
      <c r="F562" s="144"/>
    </row>
    <row r="563" spans="2:6">
      <c r="B563" s="143"/>
      <c r="C563" s="142"/>
      <c r="D563" s="141"/>
      <c r="E563" s="140"/>
      <c r="F563" s="144"/>
    </row>
    <row r="564" spans="2:6">
      <c r="B564" s="143"/>
      <c r="C564" s="142"/>
      <c r="D564" s="141"/>
      <c r="E564" s="140"/>
      <c r="F564" s="144"/>
    </row>
    <row r="565" spans="2:6">
      <c r="B565" s="143"/>
      <c r="C565" s="142"/>
      <c r="D565" s="141"/>
      <c r="E565" s="140"/>
      <c r="F565" s="144"/>
    </row>
    <row r="566" spans="2:6">
      <c r="B566" s="143"/>
      <c r="C566" s="142"/>
      <c r="D566" s="141"/>
      <c r="E566" s="140"/>
      <c r="F566" s="144"/>
    </row>
    <row r="567" spans="2:6">
      <c r="B567" s="143"/>
      <c r="C567" s="142"/>
      <c r="D567" s="141"/>
      <c r="E567" s="140"/>
      <c r="F567" s="144"/>
    </row>
    <row r="568" spans="2:6">
      <c r="B568" s="143"/>
      <c r="C568" s="142"/>
      <c r="D568" s="141"/>
      <c r="E568" s="140"/>
      <c r="F568" s="144"/>
    </row>
    <row r="569" spans="2:6">
      <c r="B569" s="143"/>
      <c r="C569" s="142"/>
      <c r="D569" s="141"/>
      <c r="E569" s="140"/>
      <c r="F569" s="144"/>
    </row>
    <row r="570" spans="2:6">
      <c r="B570" s="143"/>
      <c r="C570" s="142"/>
      <c r="D570" s="141"/>
      <c r="E570" s="140"/>
      <c r="F570" s="144"/>
    </row>
    <row r="571" spans="2:6">
      <c r="B571" s="143"/>
      <c r="C571" s="142"/>
      <c r="D571" s="141"/>
      <c r="E571" s="140"/>
      <c r="F571" s="144"/>
    </row>
    <row r="572" spans="2:6">
      <c r="B572" s="143"/>
      <c r="C572" s="142"/>
      <c r="D572" s="141"/>
      <c r="E572" s="140"/>
      <c r="F572" s="144"/>
    </row>
    <row r="573" spans="2:6">
      <c r="B573" s="143"/>
      <c r="C573" s="142"/>
      <c r="D573" s="141"/>
      <c r="E573" s="140"/>
      <c r="F573" s="144"/>
    </row>
    <row r="574" spans="2:6">
      <c r="B574" s="143"/>
      <c r="C574" s="142"/>
      <c r="D574" s="141"/>
      <c r="E574" s="140"/>
      <c r="F574" s="144"/>
    </row>
    <row r="575" spans="2:6">
      <c r="B575" s="143"/>
      <c r="C575" s="142"/>
      <c r="D575" s="141"/>
      <c r="E575" s="140"/>
      <c r="F575" s="144"/>
    </row>
    <row r="576" spans="2:6">
      <c r="B576" s="143"/>
      <c r="C576" s="142"/>
      <c r="D576" s="141"/>
      <c r="E576" s="140"/>
      <c r="F576" s="144"/>
    </row>
    <row r="577" spans="2:6">
      <c r="B577" s="143"/>
      <c r="C577" s="142"/>
      <c r="D577" s="141"/>
      <c r="E577" s="140"/>
      <c r="F577" s="144"/>
    </row>
    <row r="578" spans="2:6">
      <c r="B578" s="143"/>
      <c r="C578" s="142"/>
      <c r="D578" s="141"/>
      <c r="E578" s="140"/>
      <c r="F578" s="144"/>
    </row>
    <row r="579" spans="2:6">
      <c r="B579" s="143"/>
      <c r="C579" s="142"/>
      <c r="D579" s="141"/>
      <c r="E579" s="140"/>
      <c r="F579" s="144"/>
    </row>
    <row r="580" spans="2:6">
      <c r="B580" s="143"/>
      <c r="C580" s="142"/>
      <c r="D580" s="141"/>
      <c r="E580" s="140"/>
      <c r="F580" s="144"/>
    </row>
    <row r="581" spans="2:6">
      <c r="B581" s="143"/>
      <c r="C581" s="142"/>
      <c r="D581" s="141"/>
      <c r="E581" s="140"/>
      <c r="F581" s="144"/>
    </row>
    <row r="582" spans="2:6">
      <c r="B582" s="143"/>
      <c r="C582" s="142"/>
      <c r="D582" s="141"/>
      <c r="E582" s="140"/>
      <c r="F582" s="144"/>
    </row>
    <row r="583" spans="2:6">
      <c r="B583" s="143"/>
      <c r="C583" s="142"/>
      <c r="D583" s="141"/>
      <c r="E583" s="140"/>
      <c r="F583" s="144"/>
    </row>
    <row r="584" spans="2:6">
      <c r="B584" s="143"/>
      <c r="C584" s="142"/>
      <c r="D584" s="141"/>
      <c r="E584" s="140"/>
      <c r="F584" s="144"/>
    </row>
    <row r="585" spans="2:6">
      <c r="B585" s="143"/>
      <c r="C585" s="142"/>
      <c r="D585" s="141"/>
      <c r="E585" s="140"/>
      <c r="F585" s="144"/>
    </row>
    <row r="586" spans="2:6">
      <c r="B586" s="143"/>
      <c r="C586" s="142"/>
      <c r="D586" s="141"/>
      <c r="E586" s="140"/>
      <c r="F586" s="144"/>
    </row>
    <row r="587" spans="2:6">
      <c r="B587" s="143"/>
      <c r="C587" s="142"/>
      <c r="D587" s="141"/>
      <c r="E587" s="140"/>
      <c r="F587" s="144"/>
    </row>
    <row r="588" spans="2:6">
      <c r="B588" s="143"/>
      <c r="C588" s="142"/>
      <c r="D588" s="141"/>
      <c r="E588" s="140"/>
      <c r="F588" s="144"/>
    </row>
    <row r="589" spans="2:6">
      <c r="B589" s="143"/>
      <c r="C589" s="142"/>
      <c r="D589" s="141"/>
      <c r="E589" s="140"/>
      <c r="F589" s="144"/>
    </row>
    <row r="590" spans="2:6">
      <c r="B590" s="143"/>
      <c r="C590" s="142"/>
      <c r="D590" s="141"/>
      <c r="E590" s="140"/>
      <c r="F590" s="144"/>
    </row>
    <row r="591" spans="2:6">
      <c r="B591" s="143"/>
      <c r="C591" s="142"/>
      <c r="D591" s="141"/>
      <c r="E591" s="140"/>
      <c r="F591" s="144"/>
    </row>
    <row r="592" spans="2:6">
      <c r="B592" s="143"/>
      <c r="C592" s="142"/>
      <c r="D592" s="141"/>
      <c r="E592" s="140"/>
      <c r="F592" s="144"/>
    </row>
    <row r="593" spans="2:6">
      <c r="B593" s="143"/>
      <c r="C593" s="142"/>
      <c r="D593" s="141"/>
      <c r="E593" s="140"/>
      <c r="F593" s="144"/>
    </row>
    <row r="594" spans="2:6">
      <c r="B594" s="143"/>
      <c r="C594" s="142"/>
      <c r="D594" s="141"/>
      <c r="E594" s="140"/>
      <c r="F594" s="144"/>
    </row>
    <row r="595" spans="2:6">
      <c r="B595" s="143"/>
      <c r="C595" s="142"/>
      <c r="D595" s="141"/>
      <c r="E595" s="140"/>
      <c r="F595" s="144"/>
    </row>
    <row r="596" spans="2:6">
      <c r="B596" s="143"/>
      <c r="C596" s="142"/>
      <c r="D596" s="141"/>
      <c r="E596" s="140"/>
      <c r="F596" s="144"/>
    </row>
    <row r="597" spans="2:6">
      <c r="B597" s="143"/>
      <c r="C597" s="142"/>
      <c r="D597" s="141"/>
      <c r="E597" s="140"/>
      <c r="F597" s="144"/>
    </row>
    <row r="598" spans="2:6">
      <c r="B598" s="143"/>
      <c r="C598" s="142"/>
      <c r="D598" s="141"/>
      <c r="E598" s="140"/>
      <c r="F598" s="144"/>
    </row>
    <row r="599" spans="2:6">
      <c r="B599" s="143"/>
      <c r="C599" s="142"/>
      <c r="D599" s="141"/>
      <c r="E599" s="140"/>
      <c r="F599" s="144"/>
    </row>
    <row r="600" spans="2:6">
      <c r="B600" s="143"/>
      <c r="C600" s="142"/>
      <c r="D600" s="141"/>
      <c r="E600" s="140"/>
      <c r="F600" s="144"/>
    </row>
    <row r="601" spans="2:6">
      <c r="B601" s="143"/>
      <c r="C601" s="142"/>
      <c r="D601" s="141"/>
      <c r="E601" s="140"/>
      <c r="F601" s="144"/>
    </row>
    <row r="602" spans="2:6">
      <c r="B602" s="143"/>
      <c r="C602" s="142"/>
      <c r="D602" s="141"/>
      <c r="E602" s="140"/>
      <c r="F602" s="144"/>
    </row>
    <row r="603" spans="2:6">
      <c r="B603" s="143"/>
      <c r="C603" s="142"/>
      <c r="D603" s="141"/>
      <c r="E603" s="140"/>
      <c r="F603" s="144"/>
    </row>
    <row r="604" spans="2:6">
      <c r="B604" s="143"/>
      <c r="C604" s="142"/>
      <c r="D604" s="141"/>
      <c r="E604" s="140"/>
      <c r="F604" s="144"/>
    </row>
    <row r="605" spans="2:6">
      <c r="B605" s="143"/>
      <c r="C605" s="142"/>
      <c r="D605" s="141"/>
      <c r="E605" s="140"/>
      <c r="F605" s="144"/>
    </row>
    <row r="606" spans="2:6">
      <c r="B606" s="143"/>
      <c r="C606" s="142"/>
      <c r="D606" s="141"/>
      <c r="E606" s="140"/>
      <c r="F606" s="144"/>
    </row>
    <row r="607" spans="2:6">
      <c r="B607" s="143"/>
      <c r="C607" s="142"/>
      <c r="D607" s="141"/>
      <c r="E607" s="140"/>
      <c r="F607" s="144"/>
    </row>
    <row r="608" spans="2:6">
      <c r="B608" s="143"/>
      <c r="C608" s="142"/>
      <c r="D608" s="141"/>
      <c r="E608" s="140"/>
      <c r="F608" s="144"/>
    </row>
    <row r="609" spans="2:6">
      <c r="B609" s="143"/>
      <c r="C609" s="142"/>
      <c r="D609" s="141"/>
      <c r="E609" s="140"/>
      <c r="F609" s="144"/>
    </row>
    <row r="610" spans="2:6">
      <c r="B610" s="143"/>
      <c r="C610" s="142"/>
      <c r="D610" s="141"/>
      <c r="E610" s="140"/>
      <c r="F610" s="144"/>
    </row>
    <row r="611" spans="2:6">
      <c r="B611" s="143"/>
      <c r="C611" s="142"/>
      <c r="D611" s="141"/>
      <c r="E611" s="140"/>
      <c r="F611" s="144"/>
    </row>
    <row r="612" spans="2:6">
      <c r="B612" s="143"/>
      <c r="C612" s="142"/>
      <c r="D612" s="141"/>
      <c r="E612" s="140"/>
      <c r="F612" s="144"/>
    </row>
    <row r="613" spans="2:6">
      <c r="B613" s="143"/>
      <c r="C613" s="142"/>
      <c r="D613" s="141"/>
      <c r="E613" s="140"/>
      <c r="F613" s="144"/>
    </row>
    <row r="614" spans="2:6">
      <c r="B614" s="143"/>
      <c r="C614" s="142"/>
      <c r="D614" s="141"/>
      <c r="E614" s="140"/>
      <c r="F614" s="144"/>
    </row>
    <row r="615" spans="2:6">
      <c r="B615" s="143"/>
      <c r="C615" s="142"/>
      <c r="D615" s="141"/>
      <c r="E615" s="140"/>
      <c r="F615" s="144"/>
    </row>
    <row r="616" spans="2:6">
      <c r="B616" s="143"/>
      <c r="C616" s="142"/>
      <c r="D616" s="141"/>
      <c r="E616" s="140"/>
      <c r="F616" s="144"/>
    </row>
    <row r="617" spans="2:6">
      <c r="B617" s="143"/>
      <c r="C617" s="142"/>
      <c r="D617" s="141"/>
      <c r="E617" s="140"/>
      <c r="F617" s="144"/>
    </row>
    <row r="618" spans="2:6">
      <c r="B618" s="143"/>
      <c r="C618" s="142"/>
      <c r="D618" s="141"/>
      <c r="E618" s="140"/>
      <c r="F618" s="144"/>
    </row>
    <row r="619" spans="2:6">
      <c r="B619" s="143"/>
      <c r="C619" s="142"/>
      <c r="D619" s="141"/>
      <c r="E619" s="140"/>
      <c r="F619" s="144"/>
    </row>
    <row r="620" spans="2:6">
      <c r="B620" s="143"/>
      <c r="C620" s="142"/>
      <c r="D620" s="141"/>
      <c r="E620" s="140"/>
      <c r="F620" s="144"/>
    </row>
    <row r="621" spans="2:6">
      <c r="B621" s="143"/>
      <c r="C621" s="142"/>
      <c r="D621" s="141"/>
      <c r="E621" s="140"/>
      <c r="F621" s="144"/>
    </row>
    <row r="622" spans="2:6">
      <c r="B622" s="143"/>
      <c r="C622" s="142"/>
      <c r="D622" s="141"/>
      <c r="E622" s="140"/>
      <c r="F622" s="144"/>
    </row>
    <row r="623" spans="2:6">
      <c r="B623" s="143"/>
      <c r="C623" s="142"/>
      <c r="D623" s="141"/>
      <c r="E623" s="140"/>
      <c r="F623" s="144"/>
    </row>
    <row r="624" spans="2:6">
      <c r="B624" s="143"/>
      <c r="C624" s="142"/>
      <c r="D624" s="141"/>
      <c r="E624" s="140"/>
      <c r="F624" s="144"/>
    </row>
    <row r="625" spans="2:6">
      <c r="B625" s="143"/>
      <c r="C625" s="142"/>
      <c r="D625" s="141"/>
      <c r="E625" s="140"/>
      <c r="F625" s="144"/>
    </row>
    <row r="626" spans="2:6">
      <c r="B626" s="143"/>
      <c r="C626" s="142"/>
      <c r="D626" s="141"/>
      <c r="E626" s="140"/>
      <c r="F626" s="144"/>
    </row>
    <row r="627" spans="2:6">
      <c r="B627" s="143"/>
      <c r="C627" s="142"/>
      <c r="D627" s="141"/>
      <c r="E627" s="140"/>
      <c r="F627" s="144"/>
    </row>
    <row r="628" spans="2:6">
      <c r="B628" s="143"/>
      <c r="C628" s="142"/>
      <c r="D628" s="141"/>
      <c r="E628" s="140"/>
      <c r="F628" s="144"/>
    </row>
    <row r="629" spans="2:6">
      <c r="B629" s="143"/>
      <c r="C629" s="142"/>
      <c r="D629" s="141"/>
      <c r="E629" s="140"/>
      <c r="F629" s="144"/>
    </row>
    <row r="630" spans="2:6">
      <c r="B630" s="143"/>
      <c r="C630" s="142"/>
      <c r="D630" s="141"/>
      <c r="E630" s="140"/>
      <c r="F630" s="144"/>
    </row>
    <row r="631" spans="2:6">
      <c r="B631" s="143"/>
      <c r="C631" s="142"/>
      <c r="D631" s="141"/>
      <c r="E631" s="140"/>
      <c r="F631" s="144"/>
    </row>
    <row r="632" spans="2:6">
      <c r="B632" s="143"/>
      <c r="C632" s="142"/>
      <c r="D632" s="141"/>
      <c r="E632" s="140"/>
      <c r="F632" s="144"/>
    </row>
    <row r="633" spans="2:6">
      <c r="B633" s="143"/>
      <c r="C633" s="142"/>
      <c r="D633" s="141"/>
      <c r="E633" s="140"/>
      <c r="F633" s="144"/>
    </row>
    <row r="634" spans="2:6">
      <c r="B634" s="143"/>
      <c r="C634" s="142"/>
      <c r="D634" s="141"/>
      <c r="E634" s="140"/>
      <c r="F634" s="144"/>
    </row>
    <row r="635" spans="2:6">
      <c r="B635" s="143"/>
      <c r="C635" s="142"/>
      <c r="D635" s="141"/>
      <c r="E635" s="140"/>
      <c r="F635" s="144"/>
    </row>
    <row r="636" spans="2:6">
      <c r="B636" s="143"/>
      <c r="C636" s="142"/>
      <c r="D636" s="141"/>
      <c r="E636" s="140"/>
      <c r="F636" s="144"/>
    </row>
    <row r="637" spans="2:6">
      <c r="B637" s="143"/>
      <c r="C637" s="142"/>
      <c r="D637" s="141"/>
      <c r="E637" s="140"/>
      <c r="F637" s="144"/>
    </row>
    <row r="638" spans="2:6">
      <c r="B638" s="143"/>
      <c r="C638" s="142"/>
      <c r="D638" s="141"/>
      <c r="E638" s="140"/>
      <c r="F638" s="144"/>
    </row>
    <row r="639" spans="2:6">
      <c r="B639" s="143"/>
      <c r="C639" s="142"/>
      <c r="D639" s="141"/>
      <c r="E639" s="140"/>
      <c r="F639" s="144"/>
    </row>
    <row r="640" spans="2:6">
      <c r="B640" s="143"/>
      <c r="C640" s="142"/>
      <c r="D640" s="141"/>
      <c r="E640" s="140"/>
      <c r="F640" s="144"/>
    </row>
    <row r="641" spans="2:6">
      <c r="B641" s="143"/>
      <c r="C641" s="142"/>
      <c r="D641" s="141"/>
      <c r="E641" s="140"/>
      <c r="F641" s="144"/>
    </row>
    <row r="642" spans="2:6">
      <c r="B642" s="143"/>
      <c r="C642" s="142"/>
      <c r="D642" s="141"/>
      <c r="E642" s="140"/>
      <c r="F642" s="144"/>
    </row>
    <row r="643" spans="2:6">
      <c r="B643" s="143"/>
      <c r="C643" s="142"/>
      <c r="D643" s="141"/>
      <c r="E643" s="140"/>
      <c r="F643" s="144"/>
    </row>
    <row r="644" spans="2:6">
      <c r="B644" s="143"/>
      <c r="C644" s="142"/>
      <c r="D644" s="141"/>
      <c r="E644" s="140"/>
      <c r="F644" s="144"/>
    </row>
    <row r="645" spans="2:6">
      <c r="B645" s="143"/>
      <c r="C645" s="142"/>
      <c r="D645" s="141"/>
      <c r="E645" s="140"/>
      <c r="F645" s="144"/>
    </row>
    <row r="646" spans="2:6">
      <c r="B646" s="143"/>
      <c r="C646" s="142"/>
      <c r="D646" s="141"/>
      <c r="E646" s="140"/>
      <c r="F646" s="144"/>
    </row>
    <row r="647" spans="2:6">
      <c r="B647" s="143"/>
      <c r="C647" s="142"/>
      <c r="D647" s="141"/>
      <c r="E647" s="140"/>
      <c r="F647" s="144"/>
    </row>
    <row r="648" spans="2:6">
      <c r="B648" s="143"/>
      <c r="C648" s="142"/>
      <c r="D648" s="141"/>
      <c r="E648" s="140"/>
      <c r="F648" s="144"/>
    </row>
    <row r="649" spans="2:6">
      <c r="B649" s="143"/>
      <c r="C649" s="142"/>
      <c r="D649" s="141"/>
      <c r="E649" s="140"/>
      <c r="F649" s="144"/>
    </row>
    <row r="650" spans="2:6">
      <c r="B650" s="143"/>
      <c r="C650" s="142"/>
      <c r="D650" s="141"/>
      <c r="E650" s="140"/>
      <c r="F650" s="144"/>
    </row>
    <row r="651" spans="2:6">
      <c r="B651" s="143"/>
      <c r="C651" s="142"/>
      <c r="D651" s="141"/>
      <c r="E651" s="140"/>
      <c r="F651" s="144"/>
    </row>
    <row r="652" spans="2:6">
      <c r="B652" s="143"/>
      <c r="C652" s="142"/>
      <c r="D652" s="141"/>
      <c r="E652" s="140"/>
      <c r="F652" s="144"/>
    </row>
    <row r="653" spans="2:6">
      <c r="B653" s="143"/>
      <c r="C653" s="142"/>
      <c r="D653" s="141"/>
      <c r="E653" s="140"/>
      <c r="F653" s="144"/>
    </row>
    <row r="654" spans="2:6">
      <c r="B654" s="143"/>
      <c r="C654" s="142"/>
      <c r="D654" s="141"/>
      <c r="E654" s="140"/>
      <c r="F654" s="144"/>
    </row>
    <row r="655" spans="2:6">
      <c r="B655" s="143"/>
      <c r="C655" s="142"/>
      <c r="D655" s="141"/>
      <c r="E655" s="140"/>
      <c r="F655" s="144"/>
    </row>
    <row r="656" spans="2:6">
      <c r="B656" s="143"/>
      <c r="C656" s="142"/>
      <c r="D656" s="141"/>
      <c r="E656" s="140"/>
      <c r="F656" s="144"/>
    </row>
    <row r="657" spans="2:6">
      <c r="B657" s="143"/>
      <c r="C657" s="142"/>
      <c r="D657" s="141"/>
      <c r="E657" s="140"/>
      <c r="F657" s="144"/>
    </row>
    <row r="658" spans="2:6">
      <c r="B658" s="143"/>
      <c r="C658" s="142"/>
      <c r="D658" s="141"/>
      <c r="E658" s="140"/>
      <c r="F658" s="144"/>
    </row>
    <row r="659" spans="2:6">
      <c r="B659" s="143"/>
      <c r="C659" s="142"/>
      <c r="D659" s="141"/>
      <c r="E659" s="140"/>
      <c r="F659" s="144"/>
    </row>
    <row r="660" spans="2:6">
      <c r="B660" s="143"/>
      <c r="C660" s="142"/>
      <c r="D660" s="141"/>
      <c r="E660" s="140"/>
      <c r="F660" s="144"/>
    </row>
    <row r="661" spans="2:6">
      <c r="B661" s="143"/>
      <c r="C661" s="142"/>
      <c r="D661" s="141"/>
      <c r="E661" s="140"/>
      <c r="F661" s="144"/>
    </row>
    <row r="662" spans="2:6">
      <c r="B662" s="143"/>
      <c r="C662" s="142"/>
      <c r="D662" s="141"/>
      <c r="E662" s="140"/>
      <c r="F662" s="144"/>
    </row>
    <row r="663" spans="2:6">
      <c r="B663" s="143"/>
      <c r="C663" s="142"/>
      <c r="D663" s="141"/>
      <c r="E663" s="140"/>
      <c r="F663" s="144"/>
    </row>
    <row r="664" spans="2:6">
      <c r="B664" s="143"/>
      <c r="C664" s="142"/>
      <c r="D664" s="141"/>
      <c r="E664" s="140"/>
      <c r="F664" s="144"/>
    </row>
    <row r="665" spans="2:6">
      <c r="B665" s="143"/>
      <c r="C665" s="142"/>
      <c r="D665" s="141"/>
      <c r="E665" s="140"/>
      <c r="F665" s="144"/>
    </row>
    <row r="666" spans="2:6">
      <c r="B666" s="143"/>
      <c r="C666" s="142"/>
      <c r="D666" s="141"/>
      <c r="E666" s="140"/>
      <c r="F666" s="144"/>
    </row>
    <row r="667" spans="2:6">
      <c r="B667" s="143"/>
      <c r="C667" s="142"/>
      <c r="D667" s="141"/>
      <c r="E667" s="140"/>
      <c r="F667" s="144"/>
    </row>
    <row r="668" spans="2:6">
      <c r="B668" s="143"/>
      <c r="C668" s="142"/>
      <c r="D668" s="141"/>
      <c r="E668" s="140"/>
      <c r="F668" s="144"/>
    </row>
    <row r="669" spans="2:6">
      <c r="B669" s="143"/>
      <c r="C669" s="142"/>
      <c r="D669" s="141"/>
      <c r="E669" s="140"/>
      <c r="F669" s="144"/>
    </row>
    <row r="670" spans="2:6">
      <c r="B670" s="143"/>
      <c r="C670" s="142"/>
      <c r="D670" s="141"/>
      <c r="E670" s="140"/>
      <c r="F670" s="144"/>
    </row>
    <row r="671" spans="2:6">
      <c r="B671" s="143"/>
      <c r="C671" s="142"/>
      <c r="D671" s="141"/>
      <c r="E671" s="140"/>
      <c r="F671" s="144"/>
    </row>
    <row r="672" spans="2:6">
      <c r="B672" s="143"/>
      <c r="C672" s="142"/>
      <c r="D672" s="141"/>
      <c r="E672" s="140"/>
      <c r="F672" s="144"/>
    </row>
    <row r="673" spans="2:6">
      <c r="B673" s="143"/>
      <c r="C673" s="142"/>
      <c r="D673" s="141"/>
      <c r="E673" s="140"/>
      <c r="F673" s="144"/>
    </row>
    <row r="674" spans="2:6">
      <c r="B674" s="143"/>
      <c r="C674" s="142"/>
      <c r="D674" s="141"/>
      <c r="E674" s="140"/>
      <c r="F674" s="144"/>
    </row>
    <row r="675" spans="2:6">
      <c r="B675" s="143"/>
      <c r="C675" s="142"/>
      <c r="D675" s="141"/>
      <c r="E675" s="140"/>
      <c r="F675" s="144"/>
    </row>
    <row r="676" spans="2:6">
      <c r="B676" s="143"/>
      <c r="C676" s="142"/>
      <c r="D676" s="141"/>
      <c r="E676" s="140"/>
      <c r="F676" s="144"/>
    </row>
    <row r="677" spans="2:6">
      <c r="B677" s="143"/>
      <c r="C677" s="142"/>
      <c r="D677" s="141"/>
      <c r="E677" s="140"/>
      <c r="F677" s="144"/>
    </row>
    <row r="678" spans="2:6">
      <c r="B678" s="143"/>
      <c r="C678" s="142"/>
      <c r="D678" s="141"/>
      <c r="E678" s="140"/>
      <c r="F678" s="144"/>
    </row>
    <row r="679" spans="2:6">
      <c r="B679" s="143"/>
      <c r="C679" s="142"/>
      <c r="D679" s="141"/>
      <c r="E679" s="140"/>
      <c r="F679" s="144"/>
    </row>
    <row r="680" spans="2:6">
      <c r="B680" s="143"/>
      <c r="C680" s="142"/>
      <c r="D680" s="141"/>
      <c r="E680" s="140"/>
      <c r="F680" s="144"/>
    </row>
    <row r="681" spans="2:6">
      <c r="B681" s="143"/>
      <c r="C681" s="142"/>
      <c r="D681" s="141"/>
      <c r="E681" s="140"/>
      <c r="F681" s="144"/>
    </row>
    <row r="682" spans="2:6">
      <c r="B682" s="143"/>
      <c r="C682" s="142"/>
      <c r="D682" s="141"/>
      <c r="E682" s="140"/>
      <c r="F682" s="144"/>
    </row>
    <row r="683" spans="2:6">
      <c r="B683" s="143"/>
      <c r="C683" s="142"/>
      <c r="D683" s="141"/>
      <c r="E683" s="140"/>
      <c r="F683" s="144"/>
    </row>
    <row r="684" spans="2:6">
      <c r="B684" s="143"/>
      <c r="C684" s="142"/>
      <c r="D684" s="141"/>
      <c r="E684" s="140"/>
      <c r="F684" s="144"/>
    </row>
    <row r="685" spans="2:6">
      <c r="B685" s="143"/>
      <c r="C685" s="142"/>
      <c r="D685" s="141"/>
      <c r="E685" s="140"/>
      <c r="F685" s="144"/>
    </row>
    <row r="686" spans="2:6">
      <c r="B686" s="143"/>
      <c r="C686" s="142"/>
      <c r="D686" s="141"/>
      <c r="E686" s="140"/>
      <c r="F686" s="144"/>
    </row>
    <row r="687" spans="2:6">
      <c r="B687" s="143"/>
      <c r="C687" s="142"/>
      <c r="D687" s="141"/>
      <c r="E687" s="140"/>
      <c r="F687" s="144"/>
    </row>
    <row r="688" spans="2:6">
      <c r="B688" s="143"/>
      <c r="C688" s="142"/>
      <c r="D688" s="141"/>
      <c r="E688" s="140"/>
      <c r="F688" s="144"/>
    </row>
    <row r="689" spans="2:6">
      <c r="B689" s="143"/>
      <c r="C689" s="142"/>
      <c r="D689" s="141"/>
      <c r="E689" s="140"/>
      <c r="F689" s="144"/>
    </row>
    <row r="690" spans="2:6">
      <c r="B690" s="143"/>
      <c r="C690" s="142"/>
      <c r="D690" s="141"/>
      <c r="E690" s="140"/>
      <c r="F690" s="144"/>
    </row>
    <row r="691" spans="2:6">
      <c r="B691" s="143"/>
      <c r="C691" s="142"/>
      <c r="D691" s="141"/>
      <c r="E691" s="140"/>
      <c r="F691" s="144"/>
    </row>
    <row r="692" spans="2:6">
      <c r="B692" s="143"/>
      <c r="C692" s="142"/>
      <c r="D692" s="141"/>
      <c r="E692" s="140"/>
      <c r="F692" s="144"/>
    </row>
    <row r="693" spans="2:6">
      <c r="B693" s="143"/>
      <c r="C693" s="142"/>
      <c r="D693" s="141"/>
      <c r="E693" s="140"/>
      <c r="F693" s="144"/>
    </row>
    <row r="694" spans="2:6">
      <c r="B694" s="143"/>
      <c r="C694" s="142"/>
      <c r="D694" s="141"/>
      <c r="E694" s="140"/>
      <c r="F694" s="144"/>
    </row>
    <row r="695" spans="2:6">
      <c r="B695" s="143"/>
      <c r="C695" s="142"/>
      <c r="D695" s="141"/>
      <c r="E695" s="140"/>
      <c r="F695" s="144"/>
    </row>
    <row r="696" spans="2:6">
      <c r="B696" s="143"/>
      <c r="C696" s="142"/>
      <c r="D696" s="141"/>
      <c r="E696" s="140"/>
      <c r="F696" s="144"/>
    </row>
    <row r="697" spans="2:6">
      <c r="B697" s="143"/>
      <c r="C697" s="142"/>
      <c r="D697" s="141"/>
      <c r="E697" s="140"/>
      <c r="F697" s="144"/>
    </row>
    <row r="698" spans="2:6">
      <c r="B698" s="143"/>
      <c r="C698" s="142"/>
      <c r="D698" s="141"/>
      <c r="E698" s="140"/>
      <c r="F698" s="144"/>
    </row>
    <row r="699" spans="2:6">
      <c r="B699" s="143"/>
      <c r="C699" s="142"/>
      <c r="D699" s="141"/>
      <c r="E699" s="140"/>
      <c r="F699" s="144"/>
    </row>
    <row r="700" spans="2:6">
      <c r="B700" s="143"/>
      <c r="C700" s="142"/>
      <c r="D700" s="141"/>
      <c r="E700" s="140"/>
      <c r="F700" s="144"/>
    </row>
    <row r="701" spans="2:6">
      <c r="B701" s="143"/>
      <c r="C701" s="142"/>
      <c r="D701" s="141"/>
      <c r="E701" s="140"/>
      <c r="F701" s="144"/>
    </row>
    <row r="702" spans="2:6">
      <c r="B702" s="143"/>
      <c r="C702" s="142"/>
      <c r="D702" s="141"/>
      <c r="E702" s="140"/>
      <c r="F702" s="144"/>
    </row>
    <row r="703" spans="2:6">
      <c r="B703" s="143"/>
      <c r="C703" s="142"/>
      <c r="D703" s="141"/>
      <c r="E703" s="140"/>
      <c r="F703" s="144"/>
    </row>
    <row r="704" spans="2:6">
      <c r="B704" s="143"/>
      <c r="C704" s="142"/>
      <c r="D704" s="141"/>
      <c r="E704" s="140"/>
      <c r="F704" s="144"/>
    </row>
    <row r="705" spans="2:6">
      <c r="B705" s="143"/>
      <c r="C705" s="142"/>
      <c r="D705" s="141"/>
      <c r="E705" s="140"/>
      <c r="F705" s="144"/>
    </row>
    <row r="706" spans="2:6">
      <c r="B706" s="143"/>
      <c r="C706" s="142"/>
      <c r="D706" s="141"/>
      <c r="E706" s="140"/>
      <c r="F706" s="144"/>
    </row>
    <row r="707" spans="2:6">
      <c r="B707" s="143"/>
      <c r="C707" s="142"/>
      <c r="D707" s="141"/>
      <c r="E707" s="140"/>
      <c r="F707" s="144"/>
    </row>
    <row r="708" spans="2:6">
      <c r="B708" s="143"/>
      <c r="C708" s="142"/>
      <c r="D708" s="141"/>
      <c r="E708" s="140"/>
      <c r="F708" s="144"/>
    </row>
    <row r="709" spans="2:6">
      <c r="B709" s="143"/>
      <c r="C709" s="142"/>
      <c r="D709" s="141"/>
      <c r="E709" s="140"/>
      <c r="F709" s="144"/>
    </row>
    <row r="710" spans="2:6">
      <c r="B710" s="143"/>
      <c r="C710" s="142"/>
      <c r="D710" s="141"/>
      <c r="E710" s="140"/>
      <c r="F710" s="144"/>
    </row>
    <row r="711" spans="2:6">
      <c r="B711" s="143"/>
      <c r="C711" s="142"/>
      <c r="D711" s="141"/>
      <c r="E711" s="140"/>
      <c r="F711" s="144"/>
    </row>
    <row r="712" spans="2:6">
      <c r="B712" s="143"/>
      <c r="C712" s="142"/>
      <c r="D712" s="141"/>
      <c r="E712" s="140"/>
      <c r="F712" s="144"/>
    </row>
    <row r="713" spans="2:6">
      <c r="B713" s="143"/>
      <c r="C713" s="142"/>
      <c r="D713" s="141"/>
      <c r="E713" s="140"/>
      <c r="F713" s="144"/>
    </row>
    <row r="714" spans="2:6">
      <c r="B714" s="143"/>
      <c r="C714" s="142"/>
      <c r="D714" s="141"/>
      <c r="E714" s="140"/>
      <c r="F714" s="144"/>
    </row>
    <row r="715" spans="2:6">
      <c r="B715" s="143"/>
      <c r="C715" s="142"/>
      <c r="D715" s="141"/>
      <c r="E715" s="140"/>
      <c r="F715" s="144"/>
    </row>
    <row r="716" spans="2:6">
      <c r="B716" s="143"/>
      <c r="C716" s="142"/>
      <c r="D716" s="141"/>
      <c r="E716" s="140"/>
      <c r="F716" s="144"/>
    </row>
    <row r="717" spans="2:6">
      <c r="B717" s="143"/>
      <c r="C717" s="142"/>
      <c r="D717" s="141"/>
      <c r="E717" s="140"/>
      <c r="F717" s="144"/>
    </row>
    <row r="718" spans="2:6">
      <c r="B718" s="143"/>
      <c r="C718" s="142"/>
      <c r="D718" s="141"/>
      <c r="E718" s="140"/>
      <c r="F718" s="144"/>
    </row>
    <row r="719" spans="2:6">
      <c r="B719" s="143"/>
      <c r="C719" s="142"/>
      <c r="D719" s="141"/>
      <c r="E719" s="140"/>
      <c r="F719" s="144"/>
    </row>
    <row r="720" spans="2:6">
      <c r="B720" s="143"/>
      <c r="C720" s="142"/>
      <c r="D720" s="141"/>
      <c r="E720" s="140"/>
      <c r="F720" s="144"/>
    </row>
    <row r="721" spans="2:6">
      <c r="B721" s="143"/>
      <c r="C721" s="142"/>
      <c r="D721" s="141"/>
      <c r="E721" s="140"/>
      <c r="F721" s="144"/>
    </row>
    <row r="722" spans="2:6">
      <c r="B722" s="143"/>
      <c r="C722" s="142"/>
      <c r="D722" s="141"/>
      <c r="E722" s="140"/>
      <c r="F722" s="144"/>
    </row>
    <row r="723" spans="2:6">
      <c r="B723" s="143"/>
      <c r="C723" s="142"/>
      <c r="D723" s="141"/>
      <c r="E723" s="140"/>
      <c r="F723" s="144"/>
    </row>
    <row r="724" spans="2:6">
      <c r="B724" s="143"/>
      <c r="C724" s="142"/>
      <c r="D724" s="141"/>
      <c r="E724" s="140"/>
      <c r="F724" s="144"/>
    </row>
    <row r="725" spans="2:6">
      <c r="B725" s="143"/>
      <c r="C725" s="142"/>
      <c r="D725" s="141"/>
      <c r="E725" s="140"/>
      <c r="F725" s="144"/>
    </row>
    <row r="726" spans="2:6">
      <c r="B726" s="143"/>
      <c r="C726" s="142"/>
      <c r="D726" s="141"/>
      <c r="E726" s="140"/>
      <c r="F726" s="144"/>
    </row>
    <row r="727" spans="2:6">
      <c r="B727" s="143"/>
      <c r="C727" s="142"/>
      <c r="D727" s="141"/>
      <c r="E727" s="140"/>
      <c r="F727" s="144"/>
    </row>
    <row r="728" spans="2:6">
      <c r="B728" s="143"/>
      <c r="C728" s="142"/>
      <c r="D728" s="141"/>
      <c r="E728" s="140"/>
      <c r="F728" s="144"/>
    </row>
    <row r="729" spans="2:6">
      <c r="B729" s="143"/>
      <c r="C729" s="142"/>
      <c r="D729" s="141"/>
      <c r="E729" s="140"/>
      <c r="F729" s="144"/>
    </row>
    <row r="730" spans="2:6">
      <c r="B730" s="143"/>
      <c r="C730" s="142"/>
      <c r="D730" s="141"/>
      <c r="E730" s="140"/>
      <c r="F730" s="144"/>
    </row>
    <row r="731" spans="2:6">
      <c r="B731" s="143"/>
      <c r="C731" s="142"/>
      <c r="D731" s="141"/>
      <c r="E731" s="140"/>
      <c r="F731" s="144"/>
    </row>
    <row r="732" spans="2:6">
      <c r="B732" s="143"/>
      <c r="C732" s="142"/>
      <c r="D732" s="141"/>
      <c r="E732" s="140"/>
      <c r="F732" s="144"/>
    </row>
    <row r="733" spans="2:6">
      <c r="B733" s="143"/>
      <c r="C733" s="142"/>
      <c r="D733" s="141"/>
      <c r="E733" s="140"/>
      <c r="F733" s="144"/>
    </row>
    <row r="734" spans="2:6">
      <c r="B734" s="143"/>
      <c r="C734" s="142"/>
      <c r="D734" s="141"/>
      <c r="E734" s="140"/>
      <c r="F734" s="144"/>
    </row>
    <row r="735" spans="2:6">
      <c r="B735" s="143"/>
      <c r="C735" s="142"/>
      <c r="D735" s="141"/>
      <c r="E735" s="140"/>
      <c r="F735" s="144"/>
    </row>
    <row r="736" spans="2:6">
      <c r="B736" s="143"/>
      <c r="C736" s="142"/>
      <c r="D736" s="141"/>
      <c r="E736" s="140"/>
      <c r="F736" s="144"/>
    </row>
    <row r="737" spans="2:6">
      <c r="B737" s="143"/>
      <c r="C737" s="142"/>
      <c r="D737" s="141"/>
      <c r="E737" s="140"/>
      <c r="F737" s="144"/>
    </row>
    <row r="738" spans="2:6">
      <c r="B738" s="143"/>
      <c r="C738" s="142"/>
      <c r="D738" s="141"/>
      <c r="E738" s="140"/>
      <c r="F738" s="144"/>
    </row>
    <row r="739" spans="2:6">
      <c r="B739" s="143"/>
      <c r="C739" s="142"/>
      <c r="D739" s="141"/>
      <c r="E739" s="140"/>
      <c r="F739" s="144"/>
    </row>
    <row r="740" spans="2:6">
      <c r="B740" s="143"/>
      <c r="C740" s="142"/>
      <c r="D740" s="141"/>
      <c r="E740" s="140"/>
      <c r="F740" s="144"/>
    </row>
    <row r="741" spans="2:6">
      <c r="B741" s="143"/>
      <c r="C741" s="142"/>
      <c r="D741" s="141"/>
      <c r="E741" s="140"/>
      <c r="F741" s="144"/>
    </row>
    <row r="742" spans="2:6">
      <c r="B742" s="143"/>
      <c r="C742" s="142"/>
      <c r="D742" s="141"/>
      <c r="E742" s="140"/>
      <c r="F742" s="144"/>
    </row>
    <row r="743" spans="2:6">
      <c r="B743" s="143"/>
      <c r="C743" s="142"/>
      <c r="D743" s="141"/>
      <c r="E743" s="140"/>
      <c r="F743" s="144"/>
    </row>
    <row r="744" spans="2:6">
      <c r="B744" s="143"/>
      <c r="C744" s="142"/>
      <c r="D744" s="141"/>
      <c r="E744" s="140"/>
      <c r="F744" s="144"/>
    </row>
    <row r="745" spans="2:6">
      <c r="B745" s="143"/>
      <c r="C745" s="142"/>
      <c r="D745" s="141"/>
      <c r="E745" s="140"/>
      <c r="F745" s="144"/>
    </row>
    <row r="746" spans="2:6">
      <c r="B746" s="143"/>
      <c r="C746" s="142"/>
      <c r="D746" s="141"/>
      <c r="E746" s="140"/>
      <c r="F746" s="144"/>
    </row>
    <row r="747" spans="2:6">
      <c r="B747" s="143"/>
      <c r="C747" s="142"/>
      <c r="D747" s="141"/>
      <c r="E747" s="140"/>
      <c r="F747" s="144"/>
    </row>
    <row r="748" spans="2:6">
      <c r="B748" s="143"/>
      <c r="C748" s="142"/>
      <c r="D748" s="141"/>
      <c r="E748" s="140"/>
      <c r="F748" s="144"/>
    </row>
    <row r="749" spans="2:6">
      <c r="B749" s="143"/>
      <c r="C749" s="142"/>
      <c r="D749" s="141"/>
      <c r="E749" s="140"/>
      <c r="F749" s="144"/>
    </row>
    <row r="750" spans="2:6">
      <c r="B750" s="143"/>
      <c r="C750" s="142"/>
      <c r="D750" s="141"/>
      <c r="E750" s="140"/>
      <c r="F750" s="144"/>
    </row>
    <row r="751" spans="2:6">
      <c r="B751" s="143"/>
      <c r="C751" s="142"/>
      <c r="D751" s="141"/>
      <c r="E751" s="140"/>
      <c r="F751" s="144"/>
    </row>
    <row r="752" spans="2:6">
      <c r="B752" s="143"/>
      <c r="C752" s="142"/>
      <c r="D752" s="141"/>
      <c r="E752" s="140"/>
      <c r="F752" s="144"/>
    </row>
    <row r="753" spans="2:6">
      <c r="B753" s="143"/>
      <c r="C753" s="142"/>
      <c r="D753" s="141"/>
      <c r="E753" s="140"/>
      <c r="F753" s="144"/>
    </row>
    <row r="754" spans="2:6">
      <c r="B754" s="143"/>
      <c r="C754" s="142"/>
      <c r="D754" s="141"/>
      <c r="E754" s="140"/>
      <c r="F754" s="144"/>
    </row>
    <row r="755" spans="2:6">
      <c r="B755" s="143"/>
      <c r="C755" s="142"/>
      <c r="D755" s="141"/>
      <c r="E755" s="140"/>
      <c r="F755" s="144"/>
    </row>
    <row r="756" spans="2:6">
      <c r="B756" s="143"/>
      <c r="C756" s="142"/>
      <c r="D756" s="141"/>
      <c r="E756" s="140"/>
      <c r="F756" s="144"/>
    </row>
    <row r="757" spans="2:6">
      <c r="B757" s="143"/>
      <c r="C757" s="142"/>
      <c r="D757" s="141"/>
      <c r="E757" s="140"/>
      <c r="F757" s="144"/>
    </row>
    <row r="758" spans="2:6">
      <c r="B758" s="143"/>
      <c r="C758" s="142"/>
      <c r="D758" s="141"/>
      <c r="E758" s="140"/>
      <c r="F758" s="144"/>
    </row>
    <row r="759" spans="2:6">
      <c r="B759" s="143"/>
      <c r="C759" s="142"/>
      <c r="D759" s="141"/>
      <c r="E759" s="140"/>
      <c r="F759" s="144"/>
    </row>
    <row r="760" spans="2:6">
      <c r="B760" s="143"/>
      <c r="C760" s="142"/>
      <c r="D760" s="141"/>
      <c r="E760" s="140"/>
      <c r="F760" s="144"/>
    </row>
    <row r="761" spans="2:6">
      <c r="B761" s="143"/>
      <c r="C761" s="142"/>
      <c r="D761" s="141"/>
      <c r="E761" s="140"/>
      <c r="F761" s="144"/>
    </row>
    <row r="762" spans="2:6">
      <c r="B762" s="143"/>
      <c r="C762" s="142"/>
      <c r="D762" s="141"/>
      <c r="E762" s="140"/>
      <c r="F762" s="144"/>
    </row>
    <row r="763" spans="2:6">
      <c r="B763" s="143"/>
      <c r="C763" s="142"/>
      <c r="D763" s="141"/>
      <c r="E763" s="140"/>
      <c r="F763" s="144"/>
    </row>
    <row r="764" spans="2:6">
      <c r="B764" s="143"/>
      <c r="C764" s="142"/>
      <c r="D764" s="141"/>
      <c r="E764" s="140"/>
      <c r="F764" s="144"/>
    </row>
    <row r="765" spans="2:6">
      <c r="B765" s="143"/>
      <c r="C765" s="142"/>
      <c r="D765" s="141"/>
      <c r="E765" s="140"/>
      <c r="F765" s="144"/>
    </row>
    <row r="766" spans="2:6">
      <c r="B766" s="143"/>
      <c r="C766" s="142"/>
      <c r="D766" s="141"/>
      <c r="E766" s="140"/>
      <c r="F766" s="144"/>
    </row>
    <row r="767" spans="2:6">
      <c r="B767" s="143"/>
      <c r="C767" s="142"/>
      <c r="D767" s="141"/>
      <c r="E767" s="140"/>
      <c r="F767" s="144"/>
    </row>
    <row r="768" spans="2:6">
      <c r="B768" s="143"/>
      <c r="C768" s="142"/>
      <c r="D768" s="141"/>
      <c r="E768" s="140"/>
      <c r="F768" s="144"/>
    </row>
    <row r="769" spans="2:6">
      <c r="B769" s="143"/>
      <c r="C769" s="142"/>
      <c r="D769" s="141"/>
      <c r="E769" s="140"/>
      <c r="F769" s="144"/>
    </row>
    <row r="770" spans="2:6">
      <c r="B770" s="143"/>
      <c r="C770" s="142"/>
      <c r="D770" s="141"/>
      <c r="E770" s="140"/>
      <c r="F770" s="144"/>
    </row>
    <row r="771" spans="2:6">
      <c r="B771" s="143"/>
      <c r="C771" s="142"/>
      <c r="D771" s="141"/>
      <c r="E771" s="140"/>
      <c r="F771" s="144"/>
    </row>
    <row r="772" spans="2:6">
      <c r="B772" s="143"/>
      <c r="C772" s="142"/>
      <c r="D772" s="141"/>
      <c r="E772" s="140"/>
      <c r="F772" s="144"/>
    </row>
    <row r="773" spans="2:6">
      <c r="B773" s="143"/>
      <c r="C773" s="142"/>
      <c r="D773" s="141"/>
      <c r="E773" s="140"/>
      <c r="F773" s="144"/>
    </row>
    <row r="774" spans="2:6">
      <c r="B774" s="143"/>
      <c r="C774" s="142"/>
      <c r="D774" s="141"/>
      <c r="E774" s="140"/>
      <c r="F774" s="144"/>
    </row>
    <row r="775" spans="2:6">
      <c r="B775" s="143"/>
      <c r="C775" s="142"/>
      <c r="D775" s="141"/>
      <c r="E775" s="140"/>
      <c r="F775" s="144"/>
    </row>
    <row r="776" spans="2:6">
      <c r="B776" s="143"/>
      <c r="C776" s="142"/>
      <c r="D776" s="141"/>
      <c r="E776" s="140"/>
      <c r="F776" s="144"/>
    </row>
    <row r="777" spans="2:6">
      <c r="B777" s="143"/>
      <c r="C777" s="142"/>
      <c r="D777" s="141"/>
      <c r="E777" s="140"/>
      <c r="F777" s="144"/>
    </row>
    <row r="778" spans="2:6">
      <c r="B778" s="143"/>
      <c r="C778" s="142"/>
      <c r="D778" s="141"/>
      <c r="E778" s="140"/>
      <c r="F778" s="144"/>
    </row>
    <row r="779" spans="2:6">
      <c r="B779" s="143"/>
      <c r="C779" s="142"/>
      <c r="D779" s="141"/>
      <c r="E779" s="140"/>
      <c r="F779" s="144"/>
    </row>
    <row r="780" spans="2:6">
      <c r="B780" s="143"/>
      <c r="C780" s="142"/>
      <c r="D780" s="141"/>
      <c r="E780" s="140"/>
      <c r="F780" s="144"/>
    </row>
    <row r="781" spans="2:6">
      <c r="B781" s="143"/>
      <c r="C781" s="142"/>
      <c r="D781" s="141"/>
      <c r="E781" s="140"/>
      <c r="F781" s="144"/>
    </row>
    <row r="782" spans="2:6">
      <c r="B782" s="143"/>
      <c r="C782" s="142"/>
      <c r="D782" s="141"/>
      <c r="E782" s="140"/>
      <c r="F782" s="144"/>
    </row>
    <row r="783" spans="2:6">
      <c r="B783" s="143"/>
      <c r="C783" s="142"/>
      <c r="D783" s="141"/>
      <c r="E783" s="140"/>
      <c r="F783" s="144"/>
    </row>
    <row r="784" spans="2:6">
      <c r="B784" s="143"/>
      <c r="C784" s="142"/>
      <c r="D784" s="141"/>
      <c r="E784" s="140"/>
      <c r="F784" s="144"/>
    </row>
    <row r="785" spans="2:6">
      <c r="B785" s="143"/>
      <c r="C785" s="142"/>
      <c r="D785" s="141"/>
      <c r="E785" s="140"/>
      <c r="F785" s="144"/>
    </row>
    <row r="786" spans="2:6">
      <c r="B786" s="143"/>
      <c r="C786" s="142"/>
      <c r="D786" s="141"/>
      <c r="E786" s="140"/>
      <c r="F786" s="144"/>
    </row>
    <row r="787" spans="2:6">
      <c r="B787" s="143"/>
      <c r="C787" s="142"/>
      <c r="D787" s="141"/>
      <c r="E787" s="140"/>
      <c r="F787" s="144"/>
    </row>
    <row r="788" spans="2:6">
      <c r="B788" s="143"/>
      <c r="C788" s="142"/>
      <c r="D788" s="141"/>
      <c r="E788" s="140"/>
      <c r="F788" s="144"/>
    </row>
    <row r="789" spans="2:6">
      <c r="B789" s="143"/>
      <c r="C789" s="142"/>
      <c r="D789" s="141"/>
      <c r="E789" s="140"/>
      <c r="F789" s="144"/>
    </row>
    <row r="790" spans="2:6">
      <c r="B790" s="143"/>
      <c r="C790" s="142"/>
      <c r="D790" s="141"/>
      <c r="E790" s="140"/>
      <c r="F790" s="144"/>
    </row>
    <row r="791" spans="2:6">
      <c r="B791" s="143"/>
      <c r="C791" s="142"/>
      <c r="D791" s="141"/>
      <c r="E791" s="140"/>
      <c r="F791" s="144"/>
    </row>
    <row r="792" spans="2:6">
      <c r="B792" s="143"/>
      <c r="C792" s="142"/>
      <c r="D792" s="141"/>
      <c r="E792" s="140"/>
      <c r="F792" s="144"/>
    </row>
    <row r="793" spans="2:6">
      <c r="B793" s="143"/>
      <c r="C793" s="142"/>
      <c r="D793" s="141"/>
      <c r="E793" s="140"/>
      <c r="F793" s="144"/>
    </row>
    <row r="794" spans="2:6">
      <c r="B794" s="143"/>
      <c r="C794" s="142"/>
      <c r="D794" s="141"/>
      <c r="E794" s="140"/>
      <c r="F794" s="144"/>
    </row>
    <row r="795" spans="2:6">
      <c r="B795" s="143"/>
      <c r="C795" s="142"/>
      <c r="D795" s="141"/>
      <c r="E795" s="140"/>
      <c r="F795" s="144"/>
    </row>
    <row r="796" spans="2:6">
      <c r="B796" s="143"/>
      <c r="C796" s="142"/>
      <c r="D796" s="141"/>
      <c r="E796" s="140"/>
      <c r="F796" s="144"/>
    </row>
    <row r="797" spans="2:6">
      <c r="B797" s="143"/>
      <c r="C797" s="142"/>
      <c r="D797" s="141"/>
      <c r="E797" s="140"/>
      <c r="F797" s="144"/>
    </row>
    <row r="798" spans="2:6">
      <c r="B798" s="143"/>
      <c r="C798" s="142"/>
      <c r="D798" s="141"/>
      <c r="E798" s="140"/>
      <c r="F798" s="144"/>
    </row>
    <row r="799" spans="2:6">
      <c r="B799" s="143"/>
      <c r="C799" s="142"/>
      <c r="D799" s="141"/>
      <c r="E799" s="140"/>
      <c r="F799" s="144"/>
    </row>
    <row r="800" spans="2:6">
      <c r="B800" s="143"/>
      <c r="C800" s="142"/>
      <c r="D800" s="141"/>
      <c r="E800" s="140"/>
      <c r="F800" s="144"/>
    </row>
    <row r="801" spans="2:6">
      <c r="B801" s="143"/>
      <c r="C801" s="142"/>
      <c r="D801" s="141"/>
      <c r="E801" s="140"/>
      <c r="F801" s="144"/>
    </row>
    <row r="802" spans="2:6">
      <c r="B802" s="143"/>
      <c r="C802" s="142"/>
      <c r="D802" s="141"/>
      <c r="E802" s="140"/>
      <c r="F802" s="144"/>
    </row>
    <row r="803" spans="2:6">
      <c r="B803" s="143"/>
      <c r="C803" s="142"/>
      <c r="D803" s="141"/>
      <c r="E803" s="140"/>
      <c r="F803" s="144"/>
    </row>
    <row r="804" spans="2:6">
      <c r="B804" s="143"/>
      <c r="C804" s="142"/>
      <c r="D804" s="141"/>
      <c r="E804" s="140"/>
      <c r="F804" s="144"/>
    </row>
    <row r="805" spans="2:6">
      <c r="B805" s="143"/>
      <c r="C805" s="142"/>
      <c r="D805" s="141"/>
      <c r="E805" s="140"/>
      <c r="F805" s="144"/>
    </row>
    <row r="806" spans="2:6">
      <c r="B806" s="143"/>
      <c r="C806" s="142"/>
      <c r="D806" s="141"/>
      <c r="E806" s="140"/>
      <c r="F806" s="144"/>
    </row>
    <row r="807" spans="2:6">
      <c r="B807" s="143"/>
      <c r="C807" s="142"/>
      <c r="D807" s="141"/>
      <c r="E807" s="140"/>
      <c r="F807" s="144"/>
    </row>
    <row r="808" spans="2:6">
      <c r="B808" s="143"/>
      <c r="C808" s="142"/>
      <c r="D808" s="141"/>
      <c r="E808" s="140"/>
      <c r="F808" s="144"/>
    </row>
    <row r="809" spans="2:6">
      <c r="B809" s="143"/>
      <c r="C809" s="142"/>
      <c r="D809" s="141"/>
      <c r="E809" s="140"/>
      <c r="F809" s="144"/>
    </row>
    <row r="810" spans="2:6">
      <c r="B810" s="143"/>
      <c r="C810" s="142"/>
      <c r="D810" s="141"/>
      <c r="E810" s="140"/>
      <c r="F810" s="144"/>
    </row>
    <row r="811" spans="2:6">
      <c r="B811" s="143"/>
      <c r="C811" s="142"/>
      <c r="D811" s="141"/>
      <c r="E811" s="140"/>
      <c r="F811" s="144"/>
    </row>
    <row r="812" spans="2:6">
      <c r="B812" s="143"/>
      <c r="C812" s="142"/>
      <c r="D812" s="141"/>
      <c r="E812" s="140"/>
      <c r="F812" s="144"/>
    </row>
    <row r="813" spans="2:6">
      <c r="B813" s="143"/>
      <c r="C813" s="142"/>
      <c r="D813" s="141"/>
      <c r="E813" s="140"/>
      <c r="F813" s="144"/>
    </row>
    <row r="814" spans="2:6">
      <c r="B814" s="143"/>
      <c r="C814" s="142"/>
      <c r="D814" s="141"/>
      <c r="E814" s="140"/>
      <c r="F814" s="144"/>
    </row>
    <row r="815" spans="2:6">
      <c r="B815" s="143"/>
      <c r="C815" s="142"/>
      <c r="D815" s="141"/>
      <c r="E815" s="140"/>
      <c r="F815" s="144"/>
    </row>
    <row r="816" spans="2:6">
      <c r="B816" s="143"/>
      <c r="C816" s="142"/>
      <c r="D816" s="141"/>
      <c r="E816" s="140"/>
      <c r="F816" s="144"/>
    </row>
    <row r="817" spans="2:6">
      <c r="B817" s="143"/>
      <c r="C817" s="142"/>
      <c r="D817" s="141"/>
      <c r="E817" s="140"/>
      <c r="F817" s="144"/>
    </row>
    <row r="818" spans="2:6">
      <c r="B818" s="143"/>
      <c r="C818" s="142"/>
      <c r="D818" s="141"/>
      <c r="E818" s="140"/>
      <c r="F818" s="144"/>
    </row>
    <row r="819" spans="2:6">
      <c r="B819" s="143"/>
      <c r="C819" s="142"/>
      <c r="D819" s="141"/>
      <c r="E819" s="140"/>
      <c r="F819" s="144"/>
    </row>
    <row r="820" spans="2:6">
      <c r="B820" s="143"/>
      <c r="C820" s="142"/>
      <c r="D820" s="141"/>
      <c r="E820" s="140"/>
      <c r="F820" s="144"/>
    </row>
    <row r="821" spans="2:6">
      <c r="B821" s="143"/>
      <c r="C821" s="142"/>
      <c r="D821" s="141"/>
      <c r="E821" s="140"/>
      <c r="F821" s="144"/>
    </row>
    <row r="822" spans="2:6">
      <c r="B822" s="143"/>
      <c r="C822" s="142"/>
      <c r="D822" s="141"/>
      <c r="E822" s="140"/>
      <c r="F822" s="144"/>
    </row>
    <row r="823" spans="2:6">
      <c r="B823" s="143"/>
      <c r="C823" s="142"/>
      <c r="D823" s="141"/>
      <c r="E823" s="140"/>
      <c r="F823" s="144"/>
    </row>
    <row r="824" spans="2:6">
      <c r="B824" s="143"/>
      <c r="C824" s="142"/>
      <c r="D824" s="141"/>
      <c r="E824" s="140"/>
      <c r="F824" s="144"/>
    </row>
    <row r="825" spans="2:6">
      <c r="B825" s="143"/>
      <c r="C825" s="142"/>
      <c r="D825" s="141"/>
      <c r="E825" s="140"/>
      <c r="F825" s="144"/>
    </row>
    <row r="826" spans="2:6">
      <c r="B826" s="143"/>
      <c r="C826" s="142"/>
      <c r="D826" s="141"/>
      <c r="E826" s="140"/>
      <c r="F826" s="144"/>
    </row>
    <row r="827" spans="2:6">
      <c r="B827" s="143"/>
      <c r="C827" s="142"/>
      <c r="D827" s="141"/>
      <c r="E827" s="140"/>
      <c r="F827" s="144"/>
    </row>
    <row r="828" spans="2:6">
      <c r="B828" s="143"/>
      <c r="C828" s="142"/>
      <c r="D828" s="141"/>
      <c r="E828" s="140"/>
      <c r="F828" s="144"/>
    </row>
    <row r="829" spans="2:6">
      <c r="B829" s="143"/>
      <c r="C829" s="142"/>
      <c r="D829" s="141"/>
      <c r="E829" s="140"/>
      <c r="F829" s="144"/>
    </row>
    <row r="830" spans="2:6">
      <c r="B830" s="143"/>
      <c r="C830" s="142"/>
      <c r="D830" s="141"/>
      <c r="E830" s="140"/>
      <c r="F830" s="144"/>
    </row>
    <row r="831" spans="2:6">
      <c r="B831" s="143"/>
      <c r="C831" s="142"/>
      <c r="D831" s="141"/>
      <c r="E831" s="140"/>
      <c r="F831" s="144"/>
    </row>
    <row r="832" spans="2:6">
      <c r="B832" s="143"/>
      <c r="C832" s="142"/>
      <c r="D832" s="141"/>
      <c r="E832" s="140"/>
      <c r="F832" s="144"/>
    </row>
    <row r="833" spans="2:6">
      <c r="B833" s="143"/>
      <c r="C833" s="142"/>
      <c r="D833" s="141"/>
      <c r="E833" s="140"/>
      <c r="F833" s="144"/>
    </row>
    <row r="834" spans="2:6">
      <c r="B834" s="143"/>
      <c r="C834" s="142"/>
      <c r="D834" s="141"/>
      <c r="E834" s="140"/>
      <c r="F834" s="144"/>
    </row>
    <row r="835" spans="2:6">
      <c r="B835" s="143"/>
      <c r="C835" s="142"/>
      <c r="D835" s="141"/>
      <c r="E835" s="140"/>
      <c r="F835" s="144"/>
    </row>
    <row r="836" spans="2:6">
      <c r="B836" s="143"/>
      <c r="C836" s="142"/>
      <c r="D836" s="141"/>
      <c r="E836" s="140"/>
      <c r="F836" s="144"/>
    </row>
    <row r="837" spans="2:6">
      <c r="B837" s="143"/>
      <c r="C837" s="142"/>
      <c r="D837" s="141"/>
      <c r="E837" s="140"/>
      <c r="F837" s="144"/>
    </row>
    <row r="838" spans="2:6">
      <c r="B838" s="143"/>
      <c r="C838" s="142"/>
      <c r="D838" s="141"/>
      <c r="E838" s="140"/>
      <c r="F838" s="144"/>
    </row>
    <row r="839" spans="2:6">
      <c r="B839" s="143"/>
      <c r="C839" s="142"/>
      <c r="D839" s="141"/>
      <c r="E839" s="140"/>
      <c r="F839" s="144"/>
    </row>
    <row r="840" spans="2:6">
      <c r="B840" s="143"/>
      <c r="C840" s="142"/>
      <c r="D840" s="141"/>
      <c r="E840" s="140"/>
      <c r="F840" s="144"/>
    </row>
    <row r="841" spans="2:6">
      <c r="B841" s="143"/>
      <c r="C841" s="142"/>
      <c r="D841" s="141"/>
      <c r="E841" s="140"/>
      <c r="F841" s="144"/>
    </row>
    <row r="842" spans="2:6">
      <c r="B842" s="143"/>
      <c r="C842" s="142"/>
      <c r="D842" s="141"/>
      <c r="E842" s="140"/>
      <c r="F842" s="144"/>
    </row>
    <row r="843" spans="2:6">
      <c r="B843" s="143"/>
      <c r="C843" s="142"/>
      <c r="D843" s="141"/>
      <c r="E843" s="140"/>
      <c r="F843" s="144"/>
    </row>
    <row r="844" spans="2:6">
      <c r="B844" s="143"/>
      <c r="C844" s="142"/>
      <c r="D844" s="141"/>
      <c r="E844" s="140"/>
      <c r="F844" s="144"/>
    </row>
    <row r="845" spans="2:6">
      <c r="B845" s="143"/>
      <c r="C845" s="142"/>
      <c r="D845" s="141"/>
      <c r="E845" s="140"/>
      <c r="F845" s="144"/>
    </row>
    <row r="846" spans="2:6">
      <c r="B846" s="143"/>
      <c r="C846" s="142"/>
      <c r="D846" s="141"/>
      <c r="E846" s="140"/>
      <c r="F846" s="144"/>
    </row>
    <row r="847" spans="2:6">
      <c r="B847" s="143"/>
      <c r="C847" s="142"/>
      <c r="D847" s="141"/>
      <c r="E847" s="140"/>
      <c r="F847" s="144"/>
    </row>
    <row r="848" spans="2:6">
      <c r="B848" s="143"/>
      <c r="C848" s="142"/>
      <c r="D848" s="141"/>
      <c r="E848" s="140"/>
      <c r="F848" s="144"/>
    </row>
    <row r="849" spans="2:6">
      <c r="B849" s="143"/>
      <c r="C849" s="142"/>
      <c r="D849" s="141"/>
      <c r="E849" s="140"/>
      <c r="F849" s="144"/>
    </row>
    <row r="850" spans="2:6">
      <c r="B850" s="143"/>
      <c r="C850" s="142"/>
      <c r="D850" s="141"/>
      <c r="E850" s="140"/>
      <c r="F850" s="144"/>
    </row>
    <row r="851" spans="2:6">
      <c r="B851" s="143"/>
      <c r="C851" s="142"/>
      <c r="D851" s="141"/>
      <c r="E851" s="140"/>
      <c r="F851" s="144"/>
    </row>
    <row r="852" spans="2:6">
      <c r="B852" s="143"/>
      <c r="C852" s="142"/>
      <c r="D852" s="141"/>
      <c r="E852" s="140"/>
      <c r="F852" s="144"/>
    </row>
    <row r="853" spans="2:6">
      <c r="B853" s="143"/>
      <c r="C853" s="142"/>
      <c r="D853" s="141"/>
      <c r="E853" s="140"/>
      <c r="F853" s="144"/>
    </row>
    <row r="854" spans="2:6">
      <c r="B854" s="143"/>
      <c r="C854" s="142"/>
      <c r="D854" s="141"/>
      <c r="E854" s="140"/>
      <c r="F854" s="144"/>
    </row>
    <row r="855" spans="2:6">
      <c r="B855" s="143"/>
      <c r="C855" s="142"/>
      <c r="D855" s="141"/>
      <c r="E855" s="140"/>
      <c r="F855" s="144"/>
    </row>
    <row r="856" spans="2:6">
      <c r="B856" s="143"/>
      <c r="C856" s="142"/>
      <c r="D856" s="141"/>
      <c r="E856" s="140"/>
      <c r="F856" s="144"/>
    </row>
    <row r="857" spans="2:6">
      <c r="B857" s="143"/>
      <c r="C857" s="142"/>
      <c r="D857" s="141"/>
      <c r="E857" s="140"/>
      <c r="F857" s="144"/>
    </row>
    <row r="858" spans="2:6">
      <c r="B858" s="143"/>
      <c r="C858" s="142"/>
      <c r="D858" s="141"/>
      <c r="E858" s="140"/>
      <c r="F858" s="144"/>
    </row>
    <row r="859" spans="2:6">
      <c r="B859" s="143"/>
      <c r="C859" s="142"/>
      <c r="D859" s="141"/>
      <c r="E859" s="140"/>
      <c r="F859" s="144"/>
    </row>
    <row r="860" spans="2:6">
      <c r="B860" s="143"/>
      <c r="C860" s="142"/>
      <c r="D860" s="141"/>
      <c r="E860" s="140"/>
      <c r="F860" s="144"/>
    </row>
    <row r="861" spans="2:6">
      <c r="B861" s="143"/>
      <c r="C861" s="142"/>
      <c r="D861" s="141"/>
      <c r="E861" s="140"/>
      <c r="F861" s="144"/>
    </row>
    <row r="862" spans="2:6">
      <c r="B862" s="143"/>
      <c r="C862" s="142"/>
      <c r="D862" s="141"/>
      <c r="E862" s="140"/>
      <c r="F862" s="144"/>
    </row>
    <row r="863" spans="2:6">
      <c r="B863" s="143"/>
      <c r="C863" s="142"/>
      <c r="D863" s="141"/>
      <c r="E863" s="140"/>
      <c r="F863" s="144"/>
    </row>
    <row r="864" spans="2:6">
      <c r="B864" s="143"/>
      <c r="C864" s="142"/>
      <c r="D864" s="141"/>
      <c r="E864" s="140"/>
      <c r="F864" s="144"/>
    </row>
    <row r="865" spans="2:6">
      <c r="B865" s="143"/>
      <c r="C865" s="142"/>
      <c r="D865" s="141"/>
      <c r="E865" s="140"/>
      <c r="F865" s="144"/>
    </row>
    <row r="866" spans="2:6">
      <c r="B866" s="143"/>
      <c r="C866" s="142"/>
      <c r="D866" s="141"/>
      <c r="E866" s="140"/>
      <c r="F866" s="144"/>
    </row>
    <row r="867" spans="2:6">
      <c r="B867" s="143"/>
      <c r="C867" s="142"/>
      <c r="D867" s="141"/>
      <c r="E867" s="140"/>
      <c r="F867" s="144"/>
    </row>
    <row r="868" spans="2:6">
      <c r="B868" s="143"/>
      <c r="C868" s="142"/>
      <c r="D868" s="141"/>
      <c r="E868" s="140"/>
      <c r="F868" s="144"/>
    </row>
    <row r="869" spans="2:6">
      <c r="B869" s="143"/>
      <c r="C869" s="142"/>
      <c r="D869" s="141"/>
      <c r="E869" s="140"/>
      <c r="F869" s="144"/>
    </row>
    <row r="870" spans="2:6">
      <c r="B870" s="143"/>
      <c r="C870" s="142"/>
      <c r="D870" s="141"/>
      <c r="E870" s="140"/>
      <c r="F870" s="144"/>
    </row>
    <row r="871" spans="2:6">
      <c r="B871" s="143"/>
      <c r="C871" s="142"/>
      <c r="D871" s="141"/>
      <c r="E871" s="140"/>
      <c r="F871" s="144"/>
    </row>
    <row r="872" spans="2:6">
      <c r="B872" s="143"/>
      <c r="C872" s="142"/>
      <c r="D872" s="141"/>
      <c r="E872" s="140"/>
      <c r="F872" s="144"/>
    </row>
    <row r="873" spans="2:6">
      <c r="B873" s="143"/>
      <c r="C873" s="142"/>
      <c r="D873" s="141"/>
      <c r="E873" s="140"/>
      <c r="F873" s="144"/>
    </row>
    <row r="874" spans="2:6">
      <c r="B874" s="143"/>
      <c r="C874" s="142"/>
      <c r="D874" s="141"/>
      <c r="E874" s="140"/>
      <c r="F874" s="144"/>
    </row>
    <row r="875" spans="2:6">
      <c r="B875" s="143"/>
      <c r="C875" s="142"/>
      <c r="D875" s="141"/>
      <c r="E875" s="140"/>
      <c r="F875" s="144"/>
    </row>
    <row r="876" spans="2:6">
      <c r="B876" s="143"/>
      <c r="C876" s="142"/>
      <c r="D876" s="141"/>
      <c r="E876" s="140"/>
      <c r="F876" s="144"/>
    </row>
    <row r="877" spans="2:6">
      <c r="B877" s="143"/>
      <c r="C877" s="142"/>
      <c r="D877" s="141"/>
      <c r="E877" s="140"/>
      <c r="F877" s="144"/>
    </row>
    <row r="878" spans="2:6">
      <c r="B878" s="143"/>
      <c r="C878" s="142"/>
      <c r="D878" s="141"/>
      <c r="E878" s="140"/>
      <c r="F878" s="144"/>
    </row>
    <row r="879" spans="2:6">
      <c r="B879" s="143"/>
      <c r="C879" s="142"/>
      <c r="D879" s="141"/>
      <c r="E879" s="140"/>
      <c r="F879" s="144"/>
    </row>
    <row r="880" spans="2:6">
      <c r="B880" s="143"/>
      <c r="C880" s="142"/>
      <c r="D880" s="141"/>
      <c r="E880" s="140"/>
      <c r="F880" s="144"/>
    </row>
    <row r="881" spans="2:6">
      <c r="B881" s="143"/>
      <c r="C881" s="142"/>
      <c r="D881" s="141"/>
      <c r="E881" s="140"/>
      <c r="F881" s="144"/>
    </row>
    <row r="882" spans="2:6">
      <c r="B882" s="143"/>
      <c r="C882" s="142"/>
      <c r="D882" s="141"/>
      <c r="E882" s="140"/>
      <c r="F882" s="144"/>
    </row>
    <row r="883" spans="2:6">
      <c r="B883" s="143"/>
      <c r="C883" s="142"/>
      <c r="D883" s="141"/>
      <c r="E883" s="140"/>
      <c r="F883" s="144"/>
    </row>
    <row r="884" spans="2:6">
      <c r="B884" s="143"/>
      <c r="C884" s="142"/>
      <c r="D884" s="141"/>
      <c r="E884" s="140"/>
      <c r="F884" s="144"/>
    </row>
    <row r="885" spans="2:6">
      <c r="B885" s="143"/>
      <c r="C885" s="142"/>
      <c r="D885" s="141"/>
      <c r="E885" s="140"/>
      <c r="F885" s="144"/>
    </row>
    <row r="886" spans="2:6">
      <c r="B886" s="143"/>
      <c r="C886" s="142"/>
      <c r="D886" s="141"/>
      <c r="E886" s="140"/>
      <c r="F886" s="144"/>
    </row>
    <row r="887" spans="2:6">
      <c r="B887" s="143"/>
      <c r="C887" s="142"/>
      <c r="D887" s="141"/>
      <c r="E887" s="140"/>
      <c r="F887" s="144"/>
    </row>
    <row r="888" spans="2:6">
      <c r="B888" s="143"/>
      <c r="C888" s="142"/>
      <c r="D888" s="141"/>
      <c r="E888" s="140"/>
      <c r="F888" s="144"/>
    </row>
    <row r="889" spans="2:6">
      <c r="B889" s="143"/>
      <c r="C889" s="142"/>
      <c r="D889" s="141"/>
      <c r="E889" s="140"/>
      <c r="F889" s="144"/>
    </row>
    <row r="890" spans="2:6">
      <c r="B890" s="143"/>
      <c r="C890" s="142"/>
      <c r="D890" s="141"/>
      <c r="E890" s="140"/>
      <c r="F890" s="144"/>
    </row>
    <row r="891" spans="2:6">
      <c r="B891" s="143"/>
      <c r="C891" s="142"/>
      <c r="D891" s="141"/>
      <c r="E891" s="140"/>
      <c r="F891" s="144"/>
    </row>
    <row r="892" spans="2:6">
      <c r="B892" s="143"/>
      <c r="C892" s="142"/>
      <c r="D892" s="141"/>
      <c r="E892" s="140"/>
      <c r="F892" s="144"/>
    </row>
    <row r="893" spans="2:6">
      <c r="B893" s="143"/>
      <c r="C893" s="142"/>
      <c r="D893" s="141"/>
      <c r="E893" s="140"/>
      <c r="F893" s="144"/>
    </row>
    <row r="894" spans="2:6">
      <c r="B894" s="143"/>
      <c r="C894" s="142"/>
      <c r="D894" s="141"/>
      <c r="E894" s="140"/>
      <c r="F894" s="144"/>
    </row>
    <row r="895" spans="2:6">
      <c r="B895" s="143"/>
      <c r="C895" s="142"/>
      <c r="D895" s="141"/>
      <c r="E895" s="140"/>
      <c r="F895" s="144"/>
    </row>
    <row r="896" spans="2:6">
      <c r="B896" s="143"/>
      <c r="C896" s="142"/>
      <c r="D896" s="141"/>
      <c r="E896" s="140"/>
      <c r="F896" s="144"/>
    </row>
    <row r="897" spans="2:6">
      <c r="B897" s="143"/>
      <c r="C897" s="142"/>
      <c r="D897" s="141"/>
      <c r="E897" s="140"/>
      <c r="F897" s="144"/>
    </row>
    <row r="898" spans="2:6">
      <c r="B898" s="143"/>
      <c r="C898" s="142"/>
      <c r="D898" s="141"/>
      <c r="E898" s="140"/>
      <c r="F898" s="144"/>
    </row>
    <row r="899" spans="2:6">
      <c r="B899" s="143"/>
      <c r="C899" s="142"/>
      <c r="D899" s="141"/>
      <c r="E899" s="140"/>
      <c r="F899" s="144"/>
    </row>
    <row r="900" spans="2:6">
      <c r="B900" s="143"/>
      <c r="C900" s="142"/>
      <c r="D900" s="141"/>
      <c r="E900" s="140"/>
      <c r="F900" s="144"/>
    </row>
    <row r="901" spans="2:6">
      <c r="B901" s="143"/>
      <c r="C901" s="142"/>
      <c r="D901" s="141"/>
      <c r="E901" s="140"/>
      <c r="F901" s="144"/>
    </row>
    <row r="902" spans="2:6">
      <c r="B902" s="143"/>
      <c r="C902" s="142"/>
      <c r="D902" s="141"/>
      <c r="E902" s="140"/>
      <c r="F902" s="144"/>
    </row>
    <row r="903" spans="2:6">
      <c r="B903" s="143"/>
      <c r="C903" s="142"/>
      <c r="D903" s="141"/>
      <c r="E903" s="140"/>
      <c r="F903" s="144"/>
    </row>
    <row r="904" spans="2:6">
      <c r="B904" s="143"/>
      <c r="C904" s="142"/>
      <c r="D904" s="141"/>
      <c r="E904" s="140"/>
      <c r="F904" s="144"/>
    </row>
    <row r="905" spans="2:6">
      <c r="B905" s="143"/>
      <c r="C905" s="142"/>
      <c r="D905" s="141"/>
      <c r="E905" s="140"/>
      <c r="F905" s="144"/>
    </row>
    <row r="906" spans="2:6">
      <c r="B906" s="143"/>
      <c r="C906" s="142"/>
      <c r="D906" s="141"/>
      <c r="E906" s="140"/>
      <c r="F906" s="144"/>
    </row>
    <row r="907" spans="2:6">
      <c r="B907" s="143"/>
      <c r="C907" s="142"/>
      <c r="D907" s="141"/>
      <c r="E907" s="140"/>
      <c r="F907" s="144"/>
    </row>
    <row r="908" spans="2:6">
      <c r="B908" s="143"/>
      <c r="C908" s="142"/>
      <c r="D908" s="141"/>
      <c r="E908" s="140"/>
      <c r="F908" s="144"/>
    </row>
    <row r="909" spans="2:6">
      <c r="B909" s="143"/>
      <c r="C909" s="142"/>
      <c r="D909" s="141"/>
      <c r="E909" s="140"/>
      <c r="F909" s="144"/>
    </row>
    <row r="910" spans="2:6">
      <c r="B910" s="143"/>
      <c r="C910" s="142"/>
      <c r="D910" s="141"/>
      <c r="E910" s="140"/>
      <c r="F910" s="144"/>
    </row>
    <row r="911" spans="2:6">
      <c r="B911" s="143"/>
      <c r="C911" s="142"/>
      <c r="D911" s="141"/>
      <c r="E911" s="140"/>
      <c r="F911" s="144"/>
    </row>
    <row r="912" spans="2:6">
      <c r="B912" s="143"/>
      <c r="C912" s="142"/>
      <c r="D912" s="141"/>
      <c r="E912" s="140"/>
      <c r="F912" s="144"/>
    </row>
    <row r="913" spans="2:6">
      <c r="B913" s="143"/>
      <c r="C913" s="142"/>
      <c r="D913" s="141"/>
      <c r="E913" s="140"/>
      <c r="F913" s="144"/>
    </row>
    <row r="914" spans="2:6">
      <c r="B914" s="143"/>
      <c r="C914" s="142"/>
      <c r="D914" s="141"/>
      <c r="E914" s="140"/>
      <c r="F914" s="144"/>
    </row>
    <row r="915" spans="2:6">
      <c r="B915" s="143"/>
      <c r="C915" s="142"/>
      <c r="D915" s="141"/>
      <c r="E915" s="140"/>
      <c r="F915" s="144"/>
    </row>
    <row r="916" spans="2:6">
      <c r="B916" s="143"/>
      <c r="C916" s="142"/>
      <c r="D916" s="141"/>
      <c r="E916" s="140"/>
      <c r="F916" s="144"/>
    </row>
    <row r="917" spans="2:6">
      <c r="B917" s="143"/>
      <c r="C917" s="142"/>
      <c r="D917" s="141"/>
      <c r="E917" s="140"/>
      <c r="F917" s="144"/>
    </row>
    <row r="918" spans="2:6">
      <c r="B918" s="143"/>
      <c r="C918" s="142"/>
      <c r="D918" s="141"/>
      <c r="E918" s="140"/>
      <c r="F918" s="144"/>
    </row>
    <row r="919" spans="2:6">
      <c r="B919" s="143"/>
      <c r="C919" s="142"/>
      <c r="D919" s="141"/>
      <c r="E919" s="140"/>
      <c r="F919" s="144"/>
    </row>
    <row r="920" spans="2:6">
      <c r="B920" s="143"/>
      <c r="C920" s="142"/>
      <c r="D920" s="141"/>
      <c r="E920" s="140"/>
      <c r="F920" s="144"/>
    </row>
    <row r="921" spans="2:6">
      <c r="B921" s="143"/>
      <c r="C921" s="142"/>
      <c r="D921" s="141"/>
      <c r="E921" s="140"/>
      <c r="F921" s="144"/>
    </row>
    <row r="922" spans="2:6">
      <c r="B922" s="143"/>
      <c r="C922" s="142"/>
      <c r="D922" s="141"/>
      <c r="E922" s="140"/>
      <c r="F922" s="144"/>
    </row>
    <row r="923" spans="2:6">
      <c r="B923" s="143"/>
      <c r="C923" s="142"/>
      <c r="D923" s="141"/>
      <c r="E923" s="140"/>
      <c r="F923" s="144"/>
    </row>
    <row r="924" spans="2:6">
      <c r="B924" s="143"/>
      <c r="C924" s="142"/>
      <c r="D924" s="141"/>
      <c r="E924" s="140"/>
      <c r="F924" s="144"/>
    </row>
    <row r="925" spans="2:6">
      <c r="B925" s="143"/>
      <c r="C925" s="142"/>
      <c r="D925" s="141"/>
      <c r="E925" s="140"/>
      <c r="F925" s="144"/>
    </row>
    <row r="926" spans="2:6">
      <c r="B926" s="143"/>
      <c r="C926" s="142"/>
      <c r="D926" s="141"/>
      <c r="E926" s="140"/>
      <c r="F926" s="144"/>
    </row>
    <row r="927" spans="2:6">
      <c r="B927" s="143"/>
      <c r="C927" s="142"/>
      <c r="D927" s="141"/>
      <c r="E927" s="140"/>
      <c r="F927" s="144"/>
    </row>
    <row r="928" spans="2:6">
      <c r="B928" s="143"/>
      <c r="C928" s="142"/>
      <c r="D928" s="141"/>
      <c r="E928" s="140"/>
      <c r="F928" s="144"/>
    </row>
    <row r="929" spans="2:6">
      <c r="B929" s="143"/>
      <c r="C929" s="142"/>
      <c r="D929" s="141"/>
      <c r="E929" s="140"/>
      <c r="F929" s="144"/>
    </row>
    <row r="930" spans="2:6">
      <c r="B930" s="143"/>
      <c r="C930" s="142"/>
      <c r="D930" s="141"/>
      <c r="E930" s="140"/>
      <c r="F930" s="144"/>
    </row>
    <row r="931" spans="2:6">
      <c r="B931" s="143"/>
      <c r="C931" s="142"/>
      <c r="D931" s="141"/>
      <c r="E931" s="140"/>
      <c r="F931" s="144"/>
    </row>
    <row r="932" spans="2:6">
      <c r="B932" s="143"/>
      <c r="C932" s="142"/>
      <c r="D932" s="141"/>
      <c r="E932" s="140"/>
      <c r="F932" s="144"/>
    </row>
    <row r="933" spans="2:6">
      <c r="B933" s="143"/>
      <c r="C933" s="142"/>
      <c r="D933" s="141"/>
      <c r="E933" s="140"/>
      <c r="F933" s="144"/>
    </row>
    <row r="934" spans="2:6">
      <c r="B934" s="143"/>
      <c r="C934" s="142"/>
      <c r="D934" s="141"/>
      <c r="E934" s="140"/>
      <c r="F934" s="144"/>
    </row>
    <row r="935" spans="2:6">
      <c r="B935" s="143"/>
      <c r="C935" s="142"/>
      <c r="D935" s="141"/>
      <c r="E935" s="140"/>
      <c r="F935" s="144"/>
    </row>
    <row r="936" spans="2:6">
      <c r="B936" s="143"/>
      <c r="C936" s="142"/>
      <c r="D936" s="141"/>
      <c r="E936" s="140"/>
      <c r="F936" s="144"/>
    </row>
    <row r="937" spans="2:6">
      <c r="B937" s="143"/>
      <c r="C937" s="142"/>
      <c r="D937" s="141"/>
      <c r="E937" s="140"/>
      <c r="F937" s="144"/>
    </row>
    <row r="938" spans="2:6">
      <c r="B938" s="143"/>
      <c r="C938" s="142"/>
      <c r="D938" s="141"/>
      <c r="E938" s="140"/>
      <c r="F938" s="144"/>
    </row>
    <row r="939" spans="2:6">
      <c r="B939" s="143"/>
      <c r="C939" s="142"/>
      <c r="D939" s="141"/>
      <c r="E939" s="140"/>
      <c r="F939" s="144"/>
    </row>
    <row r="940" spans="2:6">
      <c r="B940" s="143"/>
      <c r="C940" s="142"/>
      <c r="D940" s="141"/>
      <c r="E940" s="140"/>
      <c r="F940" s="144"/>
    </row>
    <row r="941" spans="2:6">
      <c r="B941" s="143"/>
      <c r="C941" s="142"/>
      <c r="D941" s="141"/>
      <c r="E941" s="140"/>
      <c r="F941" s="144"/>
    </row>
    <row r="942" spans="2:6">
      <c r="B942" s="143"/>
      <c r="C942" s="142"/>
      <c r="D942" s="141"/>
      <c r="E942" s="140"/>
      <c r="F942" s="144"/>
    </row>
    <row r="943" spans="2:6">
      <c r="B943" s="143"/>
      <c r="C943" s="142"/>
      <c r="D943" s="141"/>
      <c r="E943" s="140"/>
      <c r="F943" s="144"/>
    </row>
    <row r="944" spans="2:6">
      <c r="B944" s="143"/>
      <c r="C944" s="142"/>
      <c r="D944" s="141"/>
      <c r="E944" s="140"/>
      <c r="F944" s="144"/>
    </row>
    <row r="945" spans="2:6">
      <c r="B945" s="143"/>
      <c r="C945" s="142"/>
      <c r="D945" s="141"/>
      <c r="E945" s="140"/>
      <c r="F945" s="144"/>
    </row>
    <row r="946" spans="2:6">
      <c r="B946" s="143"/>
      <c r="C946" s="142"/>
      <c r="D946" s="141"/>
      <c r="E946" s="140"/>
      <c r="F946" s="144"/>
    </row>
    <row r="947" spans="2:6">
      <c r="B947" s="143"/>
      <c r="C947" s="142"/>
      <c r="D947" s="141"/>
      <c r="E947" s="140"/>
      <c r="F947" s="144"/>
    </row>
    <row r="948" spans="2:6">
      <c r="B948" s="143"/>
      <c r="C948" s="142"/>
      <c r="D948" s="141"/>
      <c r="E948" s="140"/>
      <c r="F948" s="144"/>
    </row>
    <row r="949" spans="2:6">
      <c r="B949" s="143"/>
      <c r="C949" s="142"/>
      <c r="D949" s="141"/>
      <c r="E949" s="140"/>
      <c r="F949" s="144"/>
    </row>
    <row r="950" spans="2:6">
      <c r="B950" s="143"/>
      <c r="C950" s="142"/>
      <c r="D950" s="141"/>
      <c r="E950" s="140"/>
      <c r="F950" s="144"/>
    </row>
    <row r="951" spans="2:6">
      <c r="B951" s="143"/>
      <c r="C951" s="142"/>
      <c r="D951" s="141"/>
      <c r="E951" s="140"/>
      <c r="F951" s="144"/>
    </row>
    <row r="952" spans="2:6">
      <c r="B952" s="143"/>
      <c r="C952" s="142"/>
      <c r="D952" s="141"/>
      <c r="E952" s="140"/>
      <c r="F952" s="144"/>
    </row>
    <row r="953" spans="2:6">
      <c r="B953" s="143"/>
      <c r="C953" s="142"/>
      <c r="D953" s="141"/>
      <c r="E953" s="140"/>
      <c r="F953" s="144"/>
    </row>
    <row r="954" spans="2:6">
      <c r="B954" s="143"/>
      <c r="C954" s="142"/>
      <c r="D954" s="141"/>
      <c r="E954" s="140"/>
      <c r="F954" s="144"/>
    </row>
    <row r="955" spans="2:6">
      <c r="B955" s="143"/>
      <c r="C955" s="142"/>
      <c r="D955" s="141"/>
      <c r="E955" s="140"/>
      <c r="F955" s="144"/>
    </row>
    <row r="956" spans="2:6">
      <c r="B956" s="143"/>
      <c r="C956" s="142"/>
      <c r="D956" s="141"/>
      <c r="E956" s="140"/>
      <c r="F956" s="144"/>
    </row>
    <row r="957" spans="2:6">
      <c r="B957" s="143"/>
      <c r="C957" s="142"/>
      <c r="D957" s="141"/>
      <c r="E957" s="140"/>
      <c r="F957" s="144"/>
    </row>
    <row r="958" spans="2:6">
      <c r="B958" s="143"/>
      <c r="C958" s="142"/>
      <c r="D958" s="141"/>
      <c r="E958" s="140"/>
      <c r="F958" s="144"/>
    </row>
    <row r="959" spans="2:6">
      <c r="B959" s="143"/>
      <c r="C959" s="142"/>
      <c r="D959" s="141"/>
      <c r="E959" s="140"/>
      <c r="F959" s="144"/>
    </row>
    <row r="960" spans="2:6">
      <c r="B960" s="143"/>
      <c r="C960" s="142"/>
      <c r="D960" s="141"/>
      <c r="E960" s="140"/>
      <c r="F960" s="144"/>
    </row>
    <row r="961" spans="2:6">
      <c r="B961" s="143"/>
      <c r="C961" s="142"/>
      <c r="D961" s="141"/>
      <c r="E961" s="140"/>
      <c r="F961" s="144"/>
    </row>
    <row r="962" spans="2:6">
      <c r="B962" s="143"/>
      <c r="C962" s="142"/>
      <c r="D962" s="141"/>
      <c r="E962" s="140"/>
      <c r="F962" s="144"/>
    </row>
    <row r="963" spans="2:6">
      <c r="B963" s="143"/>
      <c r="C963" s="142"/>
      <c r="D963" s="141"/>
      <c r="E963" s="140"/>
      <c r="F963" s="144"/>
    </row>
    <row r="964" spans="2:6">
      <c r="B964" s="143"/>
      <c r="C964" s="142"/>
      <c r="D964" s="141"/>
      <c r="E964" s="140"/>
      <c r="F964" s="144"/>
    </row>
    <row r="965" spans="2:6">
      <c r="B965" s="143"/>
      <c r="C965" s="142"/>
      <c r="D965" s="141"/>
      <c r="E965" s="140"/>
      <c r="F965" s="144"/>
    </row>
    <row r="966" spans="2:6">
      <c r="B966" s="143"/>
      <c r="C966" s="142"/>
      <c r="D966" s="141"/>
      <c r="E966" s="140"/>
      <c r="F966" s="144"/>
    </row>
    <row r="967" spans="2:6">
      <c r="B967" s="143"/>
      <c r="C967" s="142"/>
      <c r="D967" s="141"/>
      <c r="E967" s="140"/>
      <c r="F967" s="144"/>
    </row>
    <row r="968" spans="2:6">
      <c r="B968" s="143"/>
      <c r="C968" s="142"/>
      <c r="D968" s="141"/>
      <c r="E968" s="140"/>
      <c r="F968" s="144"/>
    </row>
    <row r="969" spans="2:6">
      <c r="B969" s="143"/>
      <c r="C969" s="142"/>
      <c r="D969" s="141"/>
      <c r="E969" s="140"/>
      <c r="F969" s="144"/>
    </row>
    <row r="970" spans="2:6">
      <c r="B970" s="143"/>
      <c r="C970" s="142"/>
      <c r="D970" s="141"/>
      <c r="E970" s="140"/>
      <c r="F970" s="144"/>
    </row>
    <row r="971" spans="2:6">
      <c r="B971" s="143"/>
      <c r="C971" s="142"/>
      <c r="D971" s="141"/>
      <c r="E971" s="140"/>
      <c r="F971" s="144"/>
    </row>
    <row r="972" spans="2:6">
      <c r="B972" s="143"/>
      <c r="C972" s="142"/>
      <c r="D972" s="141"/>
      <c r="E972" s="140"/>
      <c r="F972" s="144"/>
    </row>
    <row r="973" spans="2:6">
      <c r="B973" s="143"/>
      <c r="C973" s="142"/>
      <c r="D973" s="141"/>
      <c r="E973" s="140"/>
      <c r="F973" s="144"/>
    </row>
    <row r="974" spans="2:6">
      <c r="B974" s="143"/>
      <c r="C974" s="142"/>
      <c r="D974" s="141"/>
      <c r="E974" s="140"/>
      <c r="F974" s="144"/>
    </row>
    <row r="975" spans="2:6">
      <c r="B975" s="143"/>
      <c r="C975" s="142"/>
      <c r="D975" s="141"/>
      <c r="E975" s="140"/>
      <c r="F975" s="144"/>
    </row>
    <row r="976" spans="2:6">
      <c r="B976" s="143"/>
      <c r="C976" s="142"/>
      <c r="D976" s="141"/>
      <c r="E976" s="140"/>
      <c r="F976" s="144"/>
    </row>
    <row r="977" spans="2:6">
      <c r="B977" s="143"/>
      <c r="C977" s="142"/>
      <c r="D977" s="141"/>
      <c r="E977" s="140"/>
      <c r="F977" s="144"/>
    </row>
    <row r="978" spans="2:6">
      <c r="B978" s="143"/>
      <c r="C978" s="142"/>
      <c r="D978" s="141"/>
      <c r="E978" s="140"/>
      <c r="F978" s="144"/>
    </row>
    <row r="979" spans="2:6">
      <c r="B979" s="143"/>
      <c r="C979" s="142"/>
      <c r="D979" s="141"/>
      <c r="E979" s="140"/>
      <c r="F979" s="144"/>
    </row>
    <row r="980" spans="2:6">
      <c r="B980" s="143"/>
      <c r="C980" s="142"/>
      <c r="D980" s="141"/>
      <c r="E980" s="140"/>
      <c r="F980" s="144"/>
    </row>
    <row r="981" spans="2:6">
      <c r="B981" s="143"/>
      <c r="C981" s="142"/>
      <c r="D981" s="141"/>
      <c r="E981" s="140"/>
      <c r="F981" s="144"/>
    </row>
    <row r="982" spans="2:6">
      <c r="B982" s="143"/>
      <c r="C982" s="142"/>
      <c r="D982" s="141"/>
      <c r="E982" s="140"/>
      <c r="F982" s="144"/>
    </row>
    <row r="983" spans="2:6">
      <c r="B983" s="143"/>
      <c r="C983" s="142"/>
      <c r="D983" s="141"/>
      <c r="E983" s="140"/>
      <c r="F983" s="144"/>
    </row>
    <row r="984" spans="2:6">
      <c r="B984" s="143"/>
      <c r="C984" s="142"/>
      <c r="D984" s="141"/>
      <c r="E984" s="140"/>
      <c r="F984" s="144"/>
    </row>
    <row r="985" spans="2:6">
      <c r="B985" s="143"/>
      <c r="C985" s="142"/>
      <c r="D985" s="141"/>
      <c r="E985" s="140"/>
      <c r="F985" s="144"/>
    </row>
    <row r="986" spans="2:6">
      <c r="B986" s="143"/>
      <c r="C986" s="142"/>
      <c r="D986" s="141"/>
      <c r="E986" s="140"/>
      <c r="F986" s="144"/>
    </row>
    <row r="987" spans="2:6">
      <c r="B987" s="143"/>
      <c r="C987" s="142"/>
      <c r="D987" s="141"/>
      <c r="E987" s="140"/>
      <c r="F987" s="144"/>
    </row>
    <row r="988" spans="2:6">
      <c r="B988" s="143"/>
      <c r="C988" s="142"/>
      <c r="D988" s="141"/>
      <c r="E988" s="140"/>
      <c r="F988" s="144"/>
    </row>
    <row r="989" spans="2:6">
      <c r="B989" s="143"/>
      <c r="C989" s="142"/>
      <c r="D989" s="141"/>
      <c r="E989" s="140"/>
      <c r="F989" s="144"/>
    </row>
    <row r="990" spans="2:6">
      <c r="B990" s="143"/>
      <c r="C990" s="142"/>
      <c r="D990" s="141"/>
      <c r="E990" s="140"/>
      <c r="F990" s="144"/>
    </row>
    <row r="991" spans="2:6">
      <c r="B991" s="143"/>
      <c r="C991" s="142"/>
      <c r="D991" s="141"/>
      <c r="E991" s="140"/>
      <c r="F991" s="144"/>
    </row>
    <row r="992" spans="2:6">
      <c r="B992" s="143"/>
      <c r="C992" s="142"/>
      <c r="D992" s="141"/>
      <c r="E992" s="140"/>
      <c r="F992" s="144"/>
    </row>
    <row r="993" spans="2:6">
      <c r="B993" s="143"/>
      <c r="C993" s="142"/>
      <c r="D993" s="141"/>
      <c r="E993" s="140"/>
      <c r="F993" s="144"/>
    </row>
    <row r="994" spans="2:6">
      <c r="B994" s="143"/>
      <c r="C994" s="142"/>
      <c r="D994" s="141"/>
      <c r="E994" s="140"/>
      <c r="F994" s="144"/>
    </row>
    <row r="995" spans="2:6">
      <c r="B995" s="143"/>
      <c r="C995" s="142"/>
      <c r="D995" s="141"/>
      <c r="E995" s="140"/>
      <c r="F995" s="144"/>
    </row>
    <row r="996" spans="2:6">
      <c r="B996" s="143"/>
      <c r="C996" s="142"/>
      <c r="D996" s="141"/>
      <c r="E996" s="140"/>
      <c r="F996" s="144"/>
    </row>
    <row r="997" spans="2:6">
      <c r="B997" s="143"/>
      <c r="C997" s="142"/>
      <c r="D997" s="141"/>
      <c r="E997" s="140"/>
      <c r="F997" s="144"/>
    </row>
    <row r="998" spans="2:6">
      <c r="B998" s="143"/>
      <c r="C998" s="142"/>
      <c r="D998" s="141"/>
      <c r="E998" s="140"/>
      <c r="F998" s="144"/>
    </row>
    <row r="999" spans="2:6">
      <c r="B999" s="143"/>
      <c r="C999" s="142"/>
      <c r="D999" s="141"/>
      <c r="E999" s="140"/>
      <c r="F999" s="144"/>
    </row>
    <row r="1000" spans="2:6">
      <c r="B1000" s="143"/>
      <c r="C1000" s="142"/>
      <c r="D1000" s="141"/>
      <c r="E1000" s="140"/>
      <c r="F1000" s="144"/>
    </row>
    <row r="1001" spans="2:6">
      <c r="B1001" s="143"/>
      <c r="C1001" s="142"/>
      <c r="D1001" s="141"/>
      <c r="E1001" s="140"/>
      <c r="F1001" s="144"/>
    </row>
    <row r="1002" spans="2:6">
      <c r="B1002" s="143"/>
      <c r="C1002" s="142"/>
      <c r="D1002" s="141"/>
      <c r="E1002" s="140"/>
      <c r="F1002" s="144"/>
    </row>
    <row r="1003" spans="2:6">
      <c r="B1003" s="143"/>
      <c r="C1003" s="142"/>
      <c r="D1003" s="141"/>
      <c r="E1003" s="140"/>
      <c r="F1003" s="144"/>
    </row>
    <row r="1004" spans="2:6">
      <c r="B1004" s="143"/>
      <c r="C1004" s="142"/>
      <c r="D1004" s="141"/>
      <c r="E1004" s="140"/>
      <c r="F1004" s="144"/>
    </row>
    <row r="1005" spans="2:6">
      <c r="B1005" s="143"/>
      <c r="C1005" s="142"/>
      <c r="D1005" s="141"/>
      <c r="E1005" s="140"/>
      <c r="F1005" s="144"/>
    </row>
    <row r="1006" spans="2:6">
      <c r="B1006" s="143"/>
      <c r="C1006" s="142"/>
      <c r="D1006" s="141"/>
      <c r="E1006" s="140"/>
      <c r="F1006" s="144"/>
    </row>
    <row r="1007" spans="2:6">
      <c r="B1007" s="143"/>
      <c r="C1007" s="142"/>
      <c r="D1007" s="141"/>
      <c r="E1007" s="140"/>
      <c r="F1007" s="144"/>
    </row>
    <row r="1008" spans="2:6">
      <c r="B1008" s="143"/>
      <c r="C1008" s="142"/>
      <c r="D1008" s="141"/>
      <c r="E1008" s="140"/>
      <c r="F1008" s="144"/>
    </row>
    <row r="1009" spans="2:6">
      <c r="B1009" s="143"/>
      <c r="C1009" s="142"/>
      <c r="D1009" s="141"/>
      <c r="E1009" s="140"/>
      <c r="F1009" s="144"/>
    </row>
    <row r="1010" spans="2:6">
      <c r="B1010" s="143"/>
      <c r="C1010" s="142"/>
      <c r="D1010" s="141"/>
      <c r="E1010" s="140"/>
      <c r="F1010" s="144"/>
    </row>
    <row r="1011" spans="2:6">
      <c r="B1011" s="143"/>
      <c r="C1011" s="142"/>
      <c r="D1011" s="141"/>
      <c r="E1011" s="140"/>
      <c r="F1011" s="144"/>
    </row>
    <row r="1012" spans="2:6">
      <c r="B1012" s="143"/>
      <c r="C1012" s="142"/>
      <c r="D1012" s="141"/>
      <c r="E1012" s="140"/>
      <c r="F1012" s="144"/>
    </row>
    <row r="1013" spans="2:6">
      <c r="B1013" s="143"/>
      <c r="C1013" s="142"/>
      <c r="D1013" s="141"/>
      <c r="E1013" s="140"/>
      <c r="F1013" s="144"/>
    </row>
    <row r="1014" spans="2:6">
      <c r="B1014" s="143"/>
      <c r="C1014" s="142"/>
      <c r="D1014" s="141"/>
      <c r="E1014" s="140"/>
      <c r="F1014" s="144"/>
    </row>
    <row r="1015" spans="2:6">
      <c r="B1015" s="143"/>
      <c r="C1015" s="142"/>
      <c r="D1015" s="141"/>
      <c r="E1015" s="140"/>
      <c r="F1015" s="144"/>
    </row>
    <row r="1016" spans="2:6">
      <c r="B1016" s="143"/>
      <c r="C1016" s="142"/>
      <c r="D1016" s="141"/>
      <c r="E1016" s="140"/>
      <c r="F1016" s="144"/>
    </row>
    <row r="1017" spans="2:6">
      <c r="B1017" s="143"/>
      <c r="C1017" s="142"/>
      <c r="D1017" s="141"/>
      <c r="E1017" s="140"/>
      <c r="F1017" s="144"/>
    </row>
    <row r="1018" spans="2:6">
      <c r="B1018" s="143"/>
      <c r="C1018" s="142"/>
      <c r="D1018" s="141"/>
      <c r="E1018" s="140"/>
      <c r="F1018" s="144"/>
    </row>
    <row r="1019" spans="2:6">
      <c r="B1019" s="143"/>
      <c r="C1019" s="142"/>
      <c r="D1019" s="141"/>
      <c r="E1019" s="140"/>
      <c r="F1019" s="144"/>
    </row>
    <row r="1020" spans="2:6">
      <c r="B1020" s="143"/>
      <c r="C1020" s="142"/>
      <c r="D1020" s="141"/>
      <c r="E1020" s="140"/>
      <c r="F1020" s="144"/>
    </row>
    <row r="1021" spans="2:6">
      <c r="B1021" s="143"/>
      <c r="C1021" s="142"/>
      <c r="D1021" s="141"/>
      <c r="E1021" s="140"/>
      <c r="F1021" s="144"/>
    </row>
    <row r="1022" spans="2:6">
      <c r="B1022" s="143"/>
      <c r="C1022" s="142"/>
      <c r="D1022" s="141"/>
      <c r="E1022" s="140"/>
      <c r="F1022" s="144"/>
    </row>
    <row r="1023" spans="2:6">
      <c r="B1023" s="143"/>
      <c r="C1023" s="142"/>
      <c r="D1023" s="141"/>
      <c r="E1023" s="140"/>
      <c r="F1023" s="144"/>
    </row>
    <row r="1024" spans="2:6">
      <c r="B1024" s="143"/>
      <c r="C1024" s="142"/>
      <c r="D1024" s="141"/>
      <c r="E1024" s="140"/>
      <c r="F1024" s="144"/>
    </row>
    <row r="1025" spans="2:6">
      <c r="B1025" s="143"/>
      <c r="C1025" s="142"/>
      <c r="D1025" s="141"/>
      <c r="E1025" s="140"/>
      <c r="F1025" s="144"/>
    </row>
    <row r="1026" spans="2:6">
      <c r="B1026" s="143"/>
      <c r="C1026" s="142"/>
      <c r="D1026" s="141"/>
      <c r="E1026" s="140"/>
      <c r="F1026" s="144"/>
    </row>
    <row r="1027" spans="2:6">
      <c r="B1027" s="143"/>
      <c r="C1027" s="142"/>
      <c r="D1027" s="141"/>
      <c r="E1027" s="140"/>
      <c r="F1027" s="144"/>
    </row>
    <row r="1028" spans="2:6">
      <c r="B1028" s="143"/>
      <c r="C1028" s="142"/>
      <c r="D1028" s="141"/>
      <c r="E1028" s="140"/>
      <c r="F1028" s="144"/>
    </row>
    <row r="1029" spans="2:6">
      <c r="B1029" s="143"/>
      <c r="C1029" s="142"/>
      <c r="D1029" s="141"/>
      <c r="E1029" s="140"/>
      <c r="F1029" s="144"/>
    </row>
    <row r="1030" spans="2:6">
      <c r="B1030" s="143"/>
      <c r="C1030" s="142"/>
      <c r="D1030" s="141"/>
      <c r="E1030" s="140"/>
      <c r="F1030" s="144"/>
    </row>
    <row r="1031" spans="2:6">
      <c r="B1031" s="143"/>
      <c r="C1031" s="142"/>
      <c r="D1031" s="141"/>
      <c r="E1031" s="140"/>
      <c r="F1031" s="144"/>
    </row>
    <row r="1032" spans="2:6">
      <c r="B1032" s="143"/>
      <c r="C1032" s="142"/>
      <c r="D1032" s="141"/>
      <c r="E1032" s="140"/>
      <c r="F1032" s="144"/>
    </row>
    <row r="1033" spans="2:6">
      <c r="B1033" s="143"/>
      <c r="C1033" s="142"/>
      <c r="D1033" s="141"/>
      <c r="E1033" s="140"/>
      <c r="F1033" s="144"/>
    </row>
    <row r="1034" spans="2:6">
      <c r="B1034" s="143"/>
      <c r="C1034" s="142"/>
      <c r="D1034" s="141"/>
      <c r="E1034" s="140"/>
      <c r="F1034" s="144"/>
    </row>
    <row r="1035" spans="2:6">
      <c r="B1035" s="143"/>
      <c r="C1035" s="142"/>
      <c r="D1035" s="141"/>
      <c r="E1035" s="140"/>
      <c r="F1035" s="144"/>
    </row>
    <row r="1036" spans="2:6">
      <c r="B1036" s="143"/>
      <c r="C1036" s="142"/>
      <c r="D1036" s="141"/>
      <c r="E1036" s="140"/>
      <c r="F1036" s="144"/>
    </row>
    <row r="1037" spans="2:6">
      <c r="B1037" s="143"/>
      <c r="C1037" s="142"/>
      <c r="D1037" s="141"/>
      <c r="E1037" s="140"/>
      <c r="F1037" s="144"/>
    </row>
    <row r="1038" spans="2:6">
      <c r="B1038" s="143"/>
      <c r="C1038" s="142"/>
      <c r="D1038" s="141"/>
      <c r="E1038" s="140"/>
      <c r="F1038" s="144"/>
    </row>
    <row r="1039" spans="2:6">
      <c r="B1039" s="143"/>
      <c r="C1039" s="142"/>
      <c r="D1039" s="141"/>
      <c r="E1039" s="140"/>
      <c r="F1039" s="144"/>
    </row>
    <row r="1040" spans="2:6">
      <c r="B1040" s="143"/>
      <c r="C1040" s="142"/>
      <c r="D1040" s="141"/>
      <c r="E1040" s="140"/>
      <c r="F1040" s="144"/>
    </row>
    <row r="1041" spans="2:6">
      <c r="B1041" s="143"/>
      <c r="C1041" s="142"/>
      <c r="D1041" s="141"/>
      <c r="E1041" s="140"/>
      <c r="F1041" s="144"/>
    </row>
    <row r="1042" spans="2:6">
      <c r="B1042" s="143"/>
      <c r="C1042" s="142"/>
      <c r="D1042" s="141"/>
      <c r="E1042" s="140"/>
      <c r="F1042" s="144"/>
    </row>
    <row r="1043" spans="2:6">
      <c r="B1043" s="143"/>
      <c r="C1043" s="142"/>
      <c r="D1043" s="141"/>
      <c r="E1043" s="140"/>
      <c r="F1043" s="144"/>
    </row>
    <row r="1044" spans="2:6">
      <c r="B1044" s="143"/>
      <c r="C1044" s="142"/>
      <c r="D1044" s="141"/>
      <c r="E1044" s="140"/>
      <c r="F1044" s="144"/>
    </row>
    <row r="1045" spans="2:6">
      <c r="B1045" s="143"/>
      <c r="C1045" s="142"/>
      <c r="D1045" s="141"/>
      <c r="E1045" s="140"/>
      <c r="F1045" s="144"/>
    </row>
    <row r="1046" spans="2:6">
      <c r="B1046" s="143"/>
      <c r="C1046" s="142"/>
      <c r="D1046" s="141"/>
      <c r="E1046" s="140"/>
      <c r="F1046" s="144"/>
    </row>
    <row r="1047" spans="2:6">
      <c r="B1047" s="143"/>
      <c r="C1047" s="142"/>
      <c r="D1047" s="141"/>
      <c r="E1047" s="140"/>
      <c r="F1047" s="144"/>
    </row>
    <row r="1048" spans="2:6">
      <c r="B1048" s="143"/>
      <c r="C1048" s="142"/>
      <c r="D1048" s="141"/>
      <c r="E1048" s="140"/>
      <c r="F1048" s="144"/>
    </row>
    <row r="1049" spans="2:6">
      <c r="B1049" s="143"/>
      <c r="C1049" s="142"/>
      <c r="D1049" s="141"/>
      <c r="E1049" s="140"/>
      <c r="F1049" s="144"/>
    </row>
    <row r="1050" spans="2:6">
      <c r="B1050" s="143"/>
      <c r="C1050" s="142"/>
      <c r="D1050" s="141"/>
      <c r="E1050" s="140"/>
      <c r="F1050" s="144"/>
    </row>
    <row r="1051" spans="2:6">
      <c r="B1051" s="143"/>
      <c r="C1051" s="142"/>
      <c r="D1051" s="141"/>
      <c r="E1051" s="140"/>
      <c r="F1051" s="144"/>
    </row>
    <row r="1052" spans="2:6">
      <c r="B1052" s="143"/>
      <c r="C1052" s="142"/>
      <c r="D1052" s="141"/>
      <c r="E1052" s="140"/>
      <c r="F1052" s="144"/>
    </row>
    <row r="1053" spans="2:6">
      <c r="B1053" s="143"/>
      <c r="C1053" s="142"/>
      <c r="D1053" s="141"/>
      <c r="E1053" s="140"/>
      <c r="F1053" s="144"/>
    </row>
    <row r="1054" spans="2:6">
      <c r="B1054" s="143"/>
      <c r="C1054" s="142"/>
      <c r="D1054" s="141"/>
      <c r="E1054" s="140"/>
      <c r="F1054" s="144"/>
    </row>
    <row r="1055" spans="2:6">
      <c r="B1055" s="143"/>
      <c r="C1055" s="142"/>
      <c r="D1055" s="141"/>
      <c r="E1055" s="140"/>
      <c r="F1055" s="144"/>
    </row>
    <row r="1056" spans="2:6">
      <c r="B1056" s="143"/>
      <c r="C1056" s="142"/>
      <c r="D1056" s="141"/>
      <c r="E1056" s="140"/>
      <c r="F1056" s="144"/>
    </row>
    <row r="1057" spans="2:6">
      <c r="B1057" s="143"/>
      <c r="C1057" s="142"/>
      <c r="D1057" s="141"/>
      <c r="E1057" s="140"/>
      <c r="F1057" s="144"/>
    </row>
    <row r="1058" spans="2:6">
      <c r="B1058" s="143"/>
      <c r="C1058" s="142"/>
      <c r="D1058" s="141"/>
      <c r="E1058" s="140"/>
      <c r="F1058" s="144"/>
    </row>
    <row r="1059" spans="2:6">
      <c r="B1059" s="143"/>
      <c r="C1059" s="142"/>
      <c r="D1059" s="141"/>
      <c r="E1059" s="140"/>
      <c r="F1059" s="144"/>
    </row>
    <row r="1060" spans="2:6">
      <c r="B1060" s="143"/>
      <c r="C1060" s="142"/>
      <c r="D1060" s="141"/>
      <c r="E1060" s="140"/>
      <c r="F1060" s="144"/>
    </row>
    <row r="1061" spans="2:6">
      <c r="B1061" s="143"/>
      <c r="C1061" s="142"/>
      <c r="D1061" s="141"/>
      <c r="E1061" s="140"/>
      <c r="F1061" s="144"/>
    </row>
    <row r="1062" spans="2:6">
      <c r="B1062" s="143"/>
      <c r="C1062" s="142"/>
      <c r="D1062" s="141"/>
      <c r="E1062" s="140"/>
      <c r="F1062" s="144"/>
    </row>
    <row r="1063" spans="2:6">
      <c r="B1063" s="143"/>
      <c r="C1063" s="142"/>
      <c r="D1063" s="141"/>
      <c r="E1063" s="140"/>
      <c r="F1063" s="144"/>
    </row>
    <row r="1064" spans="2:6">
      <c r="B1064" s="143"/>
      <c r="C1064" s="142"/>
      <c r="D1064" s="141"/>
      <c r="E1064" s="140"/>
      <c r="F1064" s="144"/>
    </row>
    <row r="1065" spans="2:6">
      <c r="B1065" s="143"/>
      <c r="C1065" s="142"/>
      <c r="D1065" s="141"/>
      <c r="E1065" s="140"/>
      <c r="F1065" s="144"/>
    </row>
    <row r="1066" spans="2:6">
      <c r="B1066" s="143"/>
      <c r="C1066" s="142"/>
      <c r="D1066" s="141"/>
      <c r="E1066" s="140"/>
      <c r="F1066" s="144"/>
    </row>
    <row r="1067" spans="2:6">
      <c r="B1067" s="143"/>
      <c r="C1067" s="142"/>
      <c r="D1067" s="141"/>
      <c r="E1067" s="140"/>
      <c r="F1067" s="144"/>
    </row>
    <row r="1068" spans="2:6">
      <c r="B1068" s="143"/>
      <c r="C1068" s="142"/>
      <c r="D1068" s="141"/>
      <c r="E1068" s="140"/>
      <c r="F1068" s="144"/>
    </row>
    <row r="1069" spans="2:6">
      <c r="B1069" s="143"/>
      <c r="C1069" s="142"/>
      <c r="D1069" s="141"/>
      <c r="E1069" s="140"/>
      <c r="F1069" s="144"/>
    </row>
    <row r="1070" spans="2:6">
      <c r="B1070" s="143"/>
      <c r="C1070" s="142"/>
      <c r="D1070" s="141"/>
      <c r="E1070" s="140"/>
      <c r="F1070" s="144"/>
    </row>
    <row r="1071" spans="2:6">
      <c r="B1071" s="143"/>
      <c r="C1071" s="142"/>
      <c r="D1071" s="141"/>
      <c r="E1071" s="140"/>
      <c r="F1071" s="144"/>
    </row>
    <row r="1072" spans="2:6">
      <c r="B1072" s="143"/>
      <c r="C1072" s="142"/>
      <c r="D1072" s="141"/>
      <c r="E1072" s="140"/>
      <c r="F1072" s="144"/>
    </row>
    <row r="1073" spans="2:6">
      <c r="B1073" s="143"/>
      <c r="C1073" s="142"/>
      <c r="D1073" s="141"/>
      <c r="E1073" s="140"/>
      <c r="F1073" s="144"/>
    </row>
    <row r="1074" spans="2:6">
      <c r="B1074" s="143"/>
      <c r="C1074" s="142"/>
      <c r="D1074" s="141"/>
      <c r="E1074" s="140"/>
      <c r="F1074" s="144"/>
    </row>
    <row r="1075" spans="2:6">
      <c r="B1075" s="143"/>
      <c r="C1075" s="142"/>
      <c r="D1075" s="141"/>
      <c r="E1075" s="140"/>
      <c r="F1075" s="144"/>
    </row>
    <row r="1076" spans="2:6">
      <c r="B1076" s="143"/>
      <c r="C1076" s="142"/>
      <c r="D1076" s="141"/>
      <c r="E1076" s="140"/>
      <c r="F1076" s="144"/>
    </row>
    <row r="1077" spans="2:6">
      <c r="B1077" s="143"/>
      <c r="C1077" s="142"/>
      <c r="D1077" s="141"/>
      <c r="E1077" s="140"/>
      <c r="F1077" s="144"/>
    </row>
    <row r="1078" spans="2:6">
      <c r="B1078" s="143"/>
      <c r="C1078" s="142"/>
      <c r="D1078" s="141"/>
      <c r="E1078" s="140"/>
      <c r="F1078" s="144"/>
    </row>
    <row r="1079" spans="2:6">
      <c r="B1079" s="143"/>
      <c r="C1079" s="142"/>
      <c r="D1079" s="141"/>
      <c r="E1079" s="140"/>
      <c r="F1079" s="144"/>
    </row>
    <row r="1080" spans="2:6">
      <c r="B1080" s="143"/>
      <c r="C1080" s="142"/>
      <c r="D1080" s="141"/>
      <c r="E1080" s="140"/>
      <c r="F1080" s="144"/>
    </row>
    <row r="1081" spans="2:6">
      <c r="B1081" s="143"/>
      <c r="C1081" s="142"/>
      <c r="D1081" s="141"/>
      <c r="E1081" s="140"/>
      <c r="F1081" s="144"/>
    </row>
    <row r="1082" spans="2:6">
      <c r="B1082" s="143"/>
      <c r="C1082" s="142"/>
      <c r="D1082" s="141"/>
      <c r="E1082" s="140"/>
      <c r="F1082" s="144"/>
    </row>
    <row r="1083" spans="2:6">
      <c r="B1083" s="143"/>
      <c r="C1083" s="142"/>
      <c r="D1083" s="141"/>
      <c r="E1083" s="140"/>
      <c r="F1083" s="144"/>
    </row>
    <row r="1084" spans="2:6">
      <c r="B1084" s="143"/>
      <c r="C1084" s="142"/>
      <c r="D1084" s="141"/>
      <c r="E1084" s="140"/>
      <c r="F1084" s="144"/>
    </row>
    <row r="1085" spans="2:6">
      <c r="B1085" s="143"/>
      <c r="C1085" s="142"/>
      <c r="D1085" s="141"/>
      <c r="E1085" s="140"/>
      <c r="F1085" s="144"/>
    </row>
    <row r="1086" spans="2:6">
      <c r="B1086" s="143"/>
      <c r="C1086" s="142"/>
      <c r="D1086" s="141"/>
      <c r="E1086" s="140"/>
      <c r="F1086" s="144"/>
    </row>
    <row r="1087" spans="2:6">
      <c r="B1087" s="143"/>
      <c r="C1087" s="142"/>
      <c r="D1087" s="141"/>
      <c r="E1087" s="140"/>
      <c r="F1087" s="144"/>
    </row>
    <row r="1088" spans="2:6">
      <c r="B1088" s="143"/>
      <c r="C1088" s="142"/>
      <c r="D1088" s="141"/>
      <c r="E1088" s="140"/>
      <c r="F1088" s="144"/>
    </row>
    <row r="1089" spans="2:6">
      <c r="B1089" s="143"/>
      <c r="C1089" s="142"/>
      <c r="D1089" s="141"/>
      <c r="E1089" s="140"/>
      <c r="F1089" s="144"/>
    </row>
    <row r="1090" spans="2:6">
      <c r="B1090" s="143"/>
      <c r="C1090" s="142"/>
      <c r="D1090" s="141"/>
      <c r="E1090" s="140"/>
      <c r="F1090" s="144"/>
    </row>
    <row r="1091" spans="2:6">
      <c r="B1091" s="143"/>
      <c r="C1091" s="142"/>
      <c r="D1091" s="141"/>
      <c r="E1091" s="140"/>
      <c r="F1091" s="144"/>
    </row>
    <row r="1092" spans="2:6">
      <c r="B1092" s="143"/>
      <c r="C1092" s="142"/>
      <c r="D1092" s="141"/>
      <c r="E1092" s="140"/>
      <c r="F1092" s="144"/>
    </row>
    <row r="1093" spans="2:6">
      <c r="B1093" s="143"/>
      <c r="C1093" s="142"/>
      <c r="D1093" s="141"/>
      <c r="E1093" s="140"/>
      <c r="F1093" s="144"/>
    </row>
    <row r="1094" spans="2:6">
      <c r="B1094" s="143"/>
      <c r="C1094" s="142"/>
      <c r="D1094" s="141"/>
      <c r="E1094" s="140"/>
      <c r="F1094" s="144"/>
    </row>
    <row r="1095" spans="2:6">
      <c r="B1095" s="143"/>
      <c r="C1095" s="142"/>
      <c r="D1095" s="141"/>
      <c r="E1095" s="140"/>
      <c r="F1095" s="144"/>
    </row>
    <row r="1096" spans="2:6">
      <c r="B1096" s="143"/>
      <c r="C1096" s="142"/>
      <c r="D1096" s="141"/>
      <c r="E1096" s="140"/>
      <c r="F1096" s="144"/>
    </row>
    <row r="1097" spans="2:6">
      <c r="B1097" s="143"/>
      <c r="C1097" s="142"/>
      <c r="D1097" s="141"/>
      <c r="E1097" s="140"/>
      <c r="F1097" s="144"/>
    </row>
    <row r="1098" spans="2:6">
      <c r="B1098" s="143"/>
      <c r="C1098" s="142"/>
      <c r="D1098" s="141"/>
      <c r="E1098" s="140"/>
      <c r="F1098" s="144"/>
    </row>
    <row r="1099" spans="2:6">
      <c r="B1099" s="143"/>
      <c r="C1099" s="142"/>
      <c r="D1099" s="141"/>
      <c r="E1099" s="140"/>
      <c r="F1099" s="144"/>
    </row>
    <row r="1100" spans="2:6">
      <c r="B1100" s="143"/>
      <c r="C1100" s="142"/>
      <c r="D1100" s="141"/>
      <c r="E1100" s="140"/>
      <c r="F1100" s="144"/>
    </row>
    <row r="1101" spans="2:6">
      <c r="B1101" s="143"/>
      <c r="C1101" s="142"/>
      <c r="D1101" s="141"/>
      <c r="E1101" s="140"/>
      <c r="F1101" s="144"/>
    </row>
    <row r="1102" spans="2:6">
      <c r="B1102" s="143"/>
      <c r="C1102" s="142"/>
      <c r="D1102" s="141"/>
      <c r="E1102" s="140"/>
      <c r="F1102" s="144"/>
    </row>
    <row r="1103" spans="2:6">
      <c r="B1103" s="143"/>
      <c r="C1103" s="142"/>
      <c r="D1103" s="141"/>
      <c r="E1103" s="140"/>
      <c r="F1103" s="144"/>
    </row>
    <row r="1104" spans="2:6">
      <c r="B1104" s="143"/>
      <c r="C1104" s="142"/>
      <c r="D1104" s="141"/>
      <c r="E1104" s="140"/>
      <c r="F1104" s="144"/>
    </row>
    <row r="1105" spans="2:6">
      <c r="B1105" s="143"/>
      <c r="C1105" s="142"/>
      <c r="D1105" s="141"/>
      <c r="E1105" s="140"/>
      <c r="F1105" s="144"/>
    </row>
    <row r="1106" spans="2:6">
      <c r="B1106" s="143"/>
      <c r="C1106" s="142"/>
      <c r="D1106" s="141"/>
      <c r="E1106" s="140"/>
      <c r="F1106" s="144"/>
    </row>
    <row r="1107" spans="2:6">
      <c r="B1107" s="143"/>
      <c r="C1107" s="142"/>
      <c r="D1107" s="141"/>
      <c r="E1107" s="140"/>
      <c r="F1107" s="144"/>
    </row>
    <row r="1108" spans="2:6">
      <c r="B1108" s="143"/>
      <c r="C1108" s="142"/>
      <c r="D1108" s="141"/>
      <c r="E1108" s="140"/>
      <c r="F1108" s="144"/>
    </row>
    <row r="1109" spans="2:6">
      <c r="B1109" s="143"/>
      <c r="C1109" s="142"/>
      <c r="D1109" s="141"/>
      <c r="E1109" s="140"/>
      <c r="F1109" s="144"/>
    </row>
    <row r="1110" spans="2:6">
      <c r="B1110" s="143"/>
      <c r="C1110" s="142"/>
      <c r="D1110" s="141"/>
      <c r="E1110" s="140"/>
      <c r="F1110" s="144"/>
    </row>
    <row r="1111" spans="2:6">
      <c r="B1111" s="143"/>
      <c r="C1111" s="142"/>
      <c r="D1111" s="141"/>
      <c r="E1111" s="140"/>
      <c r="F1111" s="144"/>
    </row>
    <row r="1112" spans="2:6">
      <c r="B1112" s="143"/>
      <c r="C1112" s="142"/>
      <c r="D1112" s="141"/>
      <c r="E1112" s="140"/>
      <c r="F1112" s="144"/>
    </row>
    <row r="1113" spans="2:6">
      <c r="B1113" s="143"/>
      <c r="C1113" s="142"/>
      <c r="D1113" s="141"/>
      <c r="E1113" s="140"/>
      <c r="F1113" s="144"/>
    </row>
    <row r="1114" spans="2:6">
      <c r="B1114" s="143"/>
      <c r="C1114" s="142"/>
      <c r="D1114" s="141"/>
      <c r="E1114" s="140"/>
      <c r="F1114" s="144"/>
    </row>
    <row r="1115" spans="2:6">
      <c r="B1115" s="143"/>
      <c r="C1115" s="142"/>
      <c r="D1115" s="141"/>
      <c r="E1115" s="140"/>
      <c r="F1115" s="144"/>
    </row>
    <row r="1116" spans="2:6">
      <c r="B1116" s="143"/>
      <c r="C1116" s="142"/>
      <c r="D1116" s="141"/>
      <c r="E1116" s="140"/>
      <c r="F1116" s="144"/>
    </row>
    <row r="1117" spans="2:6">
      <c r="B1117" s="143"/>
      <c r="C1117" s="142"/>
      <c r="D1117" s="141"/>
      <c r="E1117" s="140"/>
      <c r="F1117" s="144"/>
    </row>
    <row r="1118" spans="2:6">
      <c r="B1118" s="143"/>
      <c r="C1118" s="142"/>
      <c r="D1118" s="141"/>
      <c r="E1118" s="140"/>
      <c r="F1118" s="144"/>
    </row>
    <row r="1119" spans="2:6">
      <c r="B1119" s="143"/>
      <c r="C1119" s="142"/>
      <c r="D1119" s="141"/>
      <c r="E1119" s="140"/>
      <c r="F1119" s="144"/>
    </row>
    <row r="1120" spans="2:6">
      <c r="B1120" s="143"/>
      <c r="C1120" s="142"/>
      <c r="D1120" s="141"/>
      <c r="E1120" s="140"/>
      <c r="F1120" s="144"/>
    </row>
    <row r="1121" spans="2:6">
      <c r="B1121" s="143"/>
      <c r="C1121" s="142"/>
      <c r="D1121" s="141"/>
      <c r="E1121" s="140"/>
      <c r="F1121" s="144"/>
    </row>
    <row r="1122" spans="2:6">
      <c r="B1122" s="143"/>
      <c r="C1122" s="142"/>
      <c r="D1122" s="141"/>
      <c r="E1122" s="140"/>
      <c r="F1122" s="144"/>
    </row>
    <row r="1123" spans="2:6">
      <c r="B1123" s="143"/>
      <c r="C1123" s="142"/>
      <c r="D1123" s="141"/>
      <c r="E1123" s="140"/>
      <c r="F1123" s="144"/>
    </row>
    <row r="1124" spans="2:6">
      <c r="B1124" s="143"/>
      <c r="C1124" s="142"/>
      <c r="D1124" s="141"/>
      <c r="E1124" s="140"/>
      <c r="F1124" s="144"/>
    </row>
    <row r="1125" spans="2:6">
      <c r="B1125" s="143"/>
      <c r="C1125" s="142"/>
      <c r="D1125" s="141"/>
      <c r="E1125" s="140"/>
      <c r="F1125" s="144"/>
    </row>
    <row r="1126" spans="2:6">
      <c r="B1126" s="143"/>
      <c r="C1126" s="142"/>
      <c r="D1126" s="141"/>
      <c r="E1126" s="140"/>
      <c r="F1126" s="144"/>
    </row>
    <row r="1127" spans="2:6">
      <c r="B1127" s="143"/>
      <c r="C1127" s="142"/>
      <c r="D1127" s="141"/>
      <c r="E1127" s="140"/>
      <c r="F1127" s="144"/>
    </row>
    <row r="1128" spans="2:6">
      <c r="B1128" s="143"/>
      <c r="C1128" s="142"/>
      <c r="D1128" s="141"/>
      <c r="E1128" s="140"/>
      <c r="F1128" s="144"/>
    </row>
    <row r="1129" spans="2:6">
      <c r="B1129" s="143"/>
      <c r="C1129" s="142"/>
      <c r="D1129" s="141"/>
      <c r="E1129" s="140"/>
      <c r="F1129" s="144"/>
    </row>
    <row r="1130" spans="2:6">
      <c r="B1130" s="143"/>
      <c r="C1130" s="142"/>
      <c r="D1130" s="141"/>
      <c r="E1130" s="140"/>
      <c r="F1130" s="144"/>
    </row>
    <row r="1131" spans="2:6">
      <c r="B1131" s="143"/>
      <c r="C1131" s="142"/>
      <c r="D1131" s="141"/>
      <c r="E1131" s="140"/>
      <c r="F1131" s="144"/>
    </row>
    <row r="1132" spans="2:6">
      <c r="B1132" s="143"/>
      <c r="C1132" s="142"/>
      <c r="D1132" s="141"/>
      <c r="E1132" s="140"/>
      <c r="F1132" s="144"/>
    </row>
    <row r="1133" spans="2:6">
      <c r="B1133" s="143"/>
      <c r="C1133" s="142"/>
      <c r="D1133" s="141"/>
      <c r="E1133" s="140"/>
      <c r="F1133" s="144"/>
    </row>
    <row r="1134" spans="2:6">
      <c r="B1134" s="143"/>
      <c r="C1134" s="142"/>
      <c r="D1134" s="141"/>
      <c r="E1134" s="140"/>
      <c r="F1134" s="144"/>
    </row>
    <row r="1135" spans="2:6">
      <c r="B1135" s="143"/>
      <c r="C1135" s="142"/>
      <c r="D1135" s="141"/>
      <c r="E1135" s="140"/>
      <c r="F1135" s="144"/>
    </row>
    <row r="1136" spans="2:6">
      <c r="B1136" s="143"/>
      <c r="C1136" s="142"/>
      <c r="D1136" s="141"/>
      <c r="E1136" s="140"/>
      <c r="F1136" s="144"/>
    </row>
    <row r="1137" spans="2:6">
      <c r="B1137" s="143"/>
      <c r="C1137" s="142"/>
      <c r="D1137" s="141"/>
      <c r="E1137" s="140"/>
      <c r="F1137" s="144"/>
    </row>
    <row r="1138" spans="2:6">
      <c r="B1138" s="143"/>
      <c r="C1138" s="142"/>
      <c r="D1138" s="141"/>
      <c r="E1138" s="140"/>
      <c r="F1138" s="144"/>
    </row>
    <row r="1139" spans="2:6">
      <c r="B1139" s="143"/>
      <c r="C1139" s="142"/>
      <c r="D1139" s="141"/>
      <c r="E1139" s="140"/>
      <c r="F1139" s="144"/>
    </row>
    <row r="1140" spans="2:6">
      <c r="B1140" s="143"/>
      <c r="C1140" s="142"/>
      <c r="D1140" s="141"/>
      <c r="E1140" s="140"/>
      <c r="F1140" s="144"/>
    </row>
    <row r="1141" spans="2:6">
      <c r="B1141" s="143"/>
      <c r="C1141" s="142"/>
      <c r="D1141" s="141"/>
      <c r="E1141" s="140"/>
      <c r="F1141" s="144"/>
    </row>
    <row r="1142" spans="2:6">
      <c r="B1142" s="143"/>
      <c r="C1142" s="142"/>
      <c r="D1142" s="141"/>
      <c r="E1142" s="140"/>
      <c r="F1142" s="144"/>
    </row>
    <row r="1143" spans="2:6">
      <c r="B1143" s="143"/>
      <c r="C1143" s="142"/>
      <c r="D1143" s="141"/>
      <c r="E1143" s="140"/>
      <c r="F1143" s="144"/>
    </row>
    <row r="1144" spans="2:6">
      <c r="B1144" s="143"/>
      <c r="C1144" s="142"/>
      <c r="D1144" s="141"/>
      <c r="E1144" s="140"/>
      <c r="F1144" s="144"/>
    </row>
    <row r="1145" spans="2:6">
      <c r="B1145" s="143"/>
      <c r="C1145" s="142"/>
      <c r="D1145" s="141"/>
      <c r="E1145" s="140"/>
      <c r="F1145" s="144"/>
    </row>
    <row r="1146" spans="2:6">
      <c r="B1146" s="143"/>
      <c r="C1146" s="142"/>
      <c r="D1146" s="141"/>
      <c r="E1146" s="140"/>
      <c r="F1146" s="144"/>
    </row>
    <row r="1147" spans="2:6">
      <c r="B1147" s="143"/>
      <c r="C1147" s="142"/>
      <c r="D1147" s="141"/>
      <c r="E1147" s="140"/>
      <c r="F1147" s="144"/>
    </row>
    <row r="1148" spans="2:6">
      <c r="B1148" s="143"/>
      <c r="C1148" s="142"/>
      <c r="D1148" s="141"/>
      <c r="E1148" s="140"/>
      <c r="F1148" s="144"/>
    </row>
    <row r="1149" spans="2:6">
      <c r="B1149" s="143"/>
      <c r="C1149" s="142"/>
      <c r="D1149" s="141"/>
      <c r="E1149" s="140"/>
      <c r="F1149" s="144"/>
    </row>
    <row r="1150" spans="2:6">
      <c r="B1150" s="143"/>
      <c r="C1150" s="142"/>
      <c r="D1150" s="141"/>
      <c r="E1150" s="140"/>
      <c r="F1150" s="144"/>
    </row>
    <row r="1151" spans="2:6">
      <c r="B1151" s="143"/>
      <c r="C1151" s="142"/>
      <c r="D1151" s="141"/>
      <c r="E1151" s="140"/>
      <c r="F1151" s="144"/>
    </row>
    <row r="1152" spans="2:6">
      <c r="B1152" s="143"/>
      <c r="C1152" s="142"/>
      <c r="D1152" s="141"/>
      <c r="E1152" s="140"/>
      <c r="F1152" s="144"/>
    </row>
    <row r="1153" spans="2:6">
      <c r="B1153" s="143"/>
      <c r="C1153" s="142"/>
      <c r="D1153" s="141"/>
      <c r="E1153" s="140"/>
      <c r="F1153" s="144"/>
    </row>
    <row r="1154" spans="2:6">
      <c r="B1154" s="143"/>
      <c r="C1154" s="142"/>
      <c r="D1154" s="141"/>
      <c r="E1154" s="140"/>
      <c r="F1154" s="144"/>
    </row>
    <row r="1155" spans="2:6">
      <c r="B1155" s="143"/>
      <c r="C1155" s="142"/>
      <c r="D1155" s="141"/>
      <c r="E1155" s="140"/>
      <c r="F1155" s="144"/>
    </row>
    <row r="1156" spans="2:6">
      <c r="B1156" s="143"/>
      <c r="C1156" s="142"/>
      <c r="D1156" s="141"/>
      <c r="E1156" s="140"/>
      <c r="F1156" s="144"/>
    </row>
    <row r="1157" spans="2:6">
      <c r="B1157" s="143"/>
      <c r="C1157" s="142"/>
      <c r="D1157" s="141"/>
      <c r="E1157" s="140"/>
      <c r="F1157" s="144"/>
    </row>
    <row r="1158" spans="2:6">
      <c r="B1158" s="143"/>
      <c r="C1158" s="142"/>
      <c r="D1158" s="141"/>
      <c r="E1158" s="140"/>
      <c r="F1158" s="144"/>
    </row>
    <row r="1159" spans="2:6">
      <c r="B1159" s="143"/>
      <c r="C1159" s="142"/>
      <c r="D1159" s="141"/>
      <c r="E1159" s="140"/>
      <c r="F1159" s="144"/>
    </row>
    <row r="1160" spans="2:6">
      <c r="B1160" s="143"/>
      <c r="C1160" s="142"/>
      <c r="D1160" s="141"/>
      <c r="E1160" s="140"/>
      <c r="F1160" s="144"/>
    </row>
    <row r="1161" spans="2:6">
      <c r="B1161" s="143"/>
      <c r="C1161" s="142"/>
      <c r="D1161" s="141"/>
      <c r="E1161" s="140"/>
      <c r="F1161" s="144"/>
    </row>
    <row r="1162" spans="2:6">
      <c r="B1162" s="143"/>
      <c r="C1162" s="142"/>
      <c r="D1162" s="141"/>
      <c r="E1162" s="140"/>
      <c r="F1162" s="144"/>
    </row>
    <row r="1163" spans="2:6">
      <c r="B1163" s="143"/>
      <c r="C1163" s="142"/>
      <c r="D1163" s="141"/>
      <c r="E1163" s="140"/>
      <c r="F1163" s="144"/>
    </row>
    <row r="1164" spans="2:6">
      <c r="B1164" s="143"/>
      <c r="C1164" s="142"/>
      <c r="D1164" s="141"/>
      <c r="E1164" s="140"/>
      <c r="F1164" s="144"/>
    </row>
    <row r="1165" spans="2:6">
      <c r="B1165" s="143"/>
      <c r="C1165" s="142"/>
      <c r="D1165" s="141"/>
      <c r="E1165" s="140"/>
      <c r="F1165" s="144"/>
    </row>
    <row r="1166" spans="2:6">
      <c r="B1166" s="143"/>
      <c r="C1166" s="142"/>
      <c r="D1166" s="141"/>
      <c r="E1166" s="140"/>
      <c r="F1166" s="144"/>
    </row>
    <row r="1167" spans="2:6">
      <c r="B1167" s="143"/>
      <c r="C1167" s="142"/>
      <c r="D1167" s="141"/>
      <c r="E1167" s="140"/>
      <c r="F1167" s="144"/>
    </row>
    <row r="1168" spans="2:6">
      <c r="B1168" s="143"/>
      <c r="C1168" s="142"/>
      <c r="D1168" s="141"/>
      <c r="E1168" s="140"/>
      <c r="F1168" s="144"/>
    </row>
    <row r="1169" spans="2:6">
      <c r="B1169" s="143"/>
      <c r="C1169" s="142"/>
      <c r="D1169" s="141"/>
      <c r="E1169" s="140"/>
      <c r="F1169" s="144"/>
    </row>
    <row r="1170" spans="2:6">
      <c r="B1170" s="143"/>
      <c r="C1170" s="142"/>
      <c r="D1170" s="141"/>
      <c r="E1170" s="140"/>
      <c r="F1170" s="144"/>
    </row>
    <row r="1171" spans="2:6">
      <c r="B1171" s="143"/>
      <c r="C1171" s="142"/>
      <c r="D1171" s="141"/>
      <c r="E1171" s="140"/>
      <c r="F1171" s="144"/>
    </row>
    <row r="1172" spans="2:6">
      <c r="B1172" s="143"/>
      <c r="C1172" s="142"/>
      <c r="D1172" s="141"/>
      <c r="E1172" s="140"/>
      <c r="F1172" s="144"/>
    </row>
    <row r="1173" spans="2:6">
      <c r="B1173" s="143"/>
      <c r="C1173" s="142"/>
      <c r="D1173" s="141"/>
      <c r="E1173" s="140"/>
      <c r="F1173" s="144"/>
    </row>
    <row r="1174" spans="2:6">
      <c r="B1174" s="143"/>
      <c r="C1174" s="142"/>
      <c r="D1174" s="141"/>
      <c r="E1174" s="140"/>
      <c r="F1174" s="144"/>
    </row>
    <row r="1175" spans="2:6">
      <c r="B1175" s="143"/>
      <c r="C1175" s="142"/>
      <c r="D1175" s="141"/>
      <c r="E1175" s="140"/>
      <c r="F1175" s="144"/>
    </row>
    <row r="1176" spans="2:6">
      <c r="B1176" s="143"/>
      <c r="C1176" s="142"/>
      <c r="D1176" s="141"/>
      <c r="E1176" s="140"/>
      <c r="F1176" s="144"/>
    </row>
    <row r="1177" spans="2:6">
      <c r="B1177" s="143"/>
      <c r="C1177" s="142"/>
      <c r="D1177" s="141"/>
      <c r="E1177" s="140"/>
      <c r="F1177" s="144"/>
    </row>
    <row r="1178" spans="2:6">
      <c r="B1178" s="143"/>
      <c r="C1178" s="142"/>
      <c r="D1178" s="141"/>
      <c r="E1178" s="140"/>
      <c r="F1178" s="144"/>
    </row>
    <row r="1179" spans="2:6">
      <c r="B1179" s="143"/>
      <c r="C1179" s="142"/>
      <c r="D1179" s="141"/>
      <c r="E1179" s="140"/>
      <c r="F1179" s="144"/>
    </row>
    <row r="1180" spans="2:6">
      <c r="B1180" s="143"/>
      <c r="C1180" s="142"/>
      <c r="D1180" s="141"/>
      <c r="E1180" s="140"/>
      <c r="F1180" s="144"/>
    </row>
    <row r="1181" spans="2:6">
      <c r="B1181" s="143"/>
      <c r="C1181" s="142"/>
      <c r="D1181" s="141"/>
      <c r="E1181" s="140"/>
      <c r="F1181" s="144"/>
    </row>
    <row r="1182" spans="2:6">
      <c r="B1182" s="143"/>
      <c r="C1182" s="142"/>
      <c r="D1182" s="141"/>
      <c r="E1182" s="140"/>
      <c r="F1182" s="144"/>
    </row>
    <row r="1183" spans="2:6">
      <c r="B1183" s="143"/>
      <c r="C1183" s="142"/>
      <c r="D1183" s="141"/>
      <c r="E1183" s="140"/>
      <c r="F1183" s="144"/>
    </row>
    <row r="1184" spans="2:6">
      <c r="B1184" s="143"/>
      <c r="C1184" s="142"/>
      <c r="D1184" s="141"/>
      <c r="E1184" s="140"/>
      <c r="F1184" s="144"/>
    </row>
    <row r="1185" spans="2:6">
      <c r="B1185" s="143"/>
      <c r="C1185" s="142"/>
      <c r="D1185" s="141"/>
      <c r="E1185" s="140"/>
      <c r="F1185" s="144"/>
    </row>
    <row r="1186" spans="2:6">
      <c r="B1186" s="143"/>
      <c r="C1186" s="142"/>
      <c r="D1186" s="141"/>
      <c r="E1186" s="140"/>
      <c r="F1186" s="144"/>
    </row>
    <row r="1187" spans="2:6">
      <c r="B1187" s="143"/>
      <c r="C1187" s="142"/>
      <c r="D1187" s="141"/>
      <c r="E1187" s="140"/>
      <c r="F1187" s="144"/>
    </row>
    <row r="1188" spans="2:6">
      <c r="B1188" s="143"/>
      <c r="C1188" s="142"/>
      <c r="D1188" s="141"/>
      <c r="E1188" s="140"/>
      <c r="F1188" s="144"/>
    </row>
    <row r="1189" spans="2:6">
      <c r="B1189" s="143"/>
      <c r="C1189" s="142"/>
      <c r="D1189" s="141"/>
      <c r="E1189" s="140"/>
      <c r="F1189" s="144"/>
    </row>
    <row r="1190" spans="2:6">
      <c r="B1190" s="143"/>
      <c r="C1190" s="142"/>
      <c r="D1190" s="141"/>
      <c r="E1190" s="140"/>
      <c r="F1190" s="144"/>
    </row>
    <row r="1191" spans="2:6">
      <c r="B1191" s="143"/>
      <c r="C1191" s="142"/>
      <c r="D1191" s="141"/>
      <c r="E1191" s="140"/>
      <c r="F1191" s="144"/>
    </row>
    <row r="1192" spans="2:6">
      <c r="B1192" s="143"/>
      <c r="C1192" s="142"/>
      <c r="D1192" s="141"/>
      <c r="E1192" s="140"/>
      <c r="F1192" s="144"/>
    </row>
    <row r="1193" spans="2:6">
      <c r="B1193" s="143"/>
      <c r="C1193" s="142"/>
      <c r="D1193" s="141"/>
      <c r="E1193" s="140"/>
      <c r="F1193" s="144"/>
    </row>
    <row r="1194" spans="2:6">
      <c r="B1194" s="143"/>
      <c r="C1194" s="142"/>
      <c r="D1194" s="141"/>
      <c r="E1194" s="140"/>
      <c r="F1194" s="144"/>
    </row>
    <row r="1195" spans="2:6">
      <c r="B1195" s="143"/>
      <c r="C1195" s="142"/>
      <c r="D1195" s="141"/>
      <c r="E1195" s="140"/>
      <c r="F1195" s="144"/>
    </row>
    <row r="1196" spans="2:6">
      <c r="B1196" s="143"/>
      <c r="C1196" s="142"/>
      <c r="D1196" s="141"/>
      <c r="E1196" s="140"/>
      <c r="F1196" s="144"/>
    </row>
    <row r="1197" spans="2:6">
      <c r="B1197" s="143"/>
      <c r="C1197" s="142"/>
      <c r="D1197" s="141"/>
      <c r="E1197" s="140"/>
      <c r="F1197" s="144"/>
    </row>
    <row r="1198" spans="2:6">
      <c r="B1198" s="143"/>
      <c r="C1198" s="142"/>
      <c r="D1198" s="141"/>
      <c r="E1198" s="140"/>
      <c r="F1198" s="144"/>
    </row>
    <row r="1199" spans="2:6">
      <c r="B1199" s="143"/>
      <c r="C1199" s="142"/>
      <c r="D1199" s="141"/>
      <c r="E1199" s="140"/>
      <c r="F1199" s="144"/>
    </row>
    <row r="1200" spans="2:6">
      <c r="B1200" s="143"/>
      <c r="C1200" s="142"/>
      <c r="D1200" s="141"/>
      <c r="E1200" s="140"/>
      <c r="F1200" s="144"/>
    </row>
    <row r="1201" spans="2:6">
      <c r="B1201" s="143"/>
      <c r="C1201" s="142"/>
      <c r="D1201" s="141"/>
      <c r="E1201" s="140"/>
      <c r="F1201" s="144"/>
    </row>
    <row r="1202" spans="2:6">
      <c r="B1202" s="143"/>
      <c r="C1202" s="142"/>
      <c r="D1202" s="141"/>
      <c r="E1202" s="140"/>
      <c r="F1202" s="144"/>
    </row>
    <row r="1203" spans="2:6">
      <c r="B1203" s="143"/>
      <c r="C1203" s="142"/>
      <c r="D1203" s="141"/>
      <c r="E1203" s="140"/>
      <c r="F1203" s="144"/>
    </row>
    <row r="1204" spans="2:6">
      <c r="B1204" s="143"/>
      <c r="C1204" s="142"/>
      <c r="D1204" s="141"/>
      <c r="E1204" s="140"/>
      <c r="F1204" s="144"/>
    </row>
    <row r="1205" spans="2:6">
      <c r="B1205" s="143"/>
      <c r="C1205" s="142"/>
      <c r="D1205" s="141"/>
      <c r="E1205" s="140"/>
      <c r="F1205" s="144"/>
    </row>
    <row r="1206" spans="2:6">
      <c r="B1206" s="143"/>
      <c r="C1206" s="142"/>
      <c r="D1206" s="141"/>
      <c r="E1206" s="140"/>
      <c r="F1206" s="144"/>
    </row>
    <row r="1207" spans="2:6">
      <c r="B1207" s="143"/>
      <c r="C1207" s="142"/>
      <c r="D1207" s="141"/>
      <c r="E1207" s="140"/>
      <c r="F1207" s="144"/>
    </row>
    <row r="1208" spans="2:6">
      <c r="B1208" s="143"/>
      <c r="C1208" s="142"/>
      <c r="D1208" s="141"/>
      <c r="E1208" s="140"/>
      <c r="F1208" s="144"/>
    </row>
    <row r="1209" spans="2:6">
      <c r="B1209" s="143"/>
      <c r="C1209" s="142"/>
      <c r="D1209" s="141"/>
      <c r="E1209" s="140"/>
      <c r="F1209" s="144"/>
    </row>
    <row r="1210" spans="2:6">
      <c r="B1210" s="143"/>
      <c r="C1210" s="142"/>
      <c r="D1210" s="141"/>
      <c r="E1210" s="140"/>
      <c r="F1210" s="144"/>
    </row>
    <row r="1211" spans="2:6">
      <c r="B1211" s="143"/>
      <c r="C1211" s="142"/>
      <c r="D1211" s="141"/>
      <c r="E1211" s="140"/>
      <c r="F1211" s="144"/>
    </row>
    <row r="1212" spans="2:6">
      <c r="B1212" s="143"/>
      <c r="C1212" s="142"/>
      <c r="D1212" s="141"/>
      <c r="E1212" s="140"/>
      <c r="F1212" s="144"/>
    </row>
    <row r="1213" spans="2:6">
      <c r="B1213" s="143"/>
      <c r="C1213" s="142"/>
      <c r="D1213" s="141"/>
      <c r="E1213" s="140"/>
      <c r="F1213" s="144"/>
    </row>
    <row r="1214" spans="2:6">
      <c r="B1214" s="143"/>
      <c r="C1214" s="142"/>
      <c r="D1214" s="141"/>
      <c r="E1214" s="140"/>
      <c r="F1214" s="144"/>
    </row>
    <row r="1215" spans="2:6">
      <c r="B1215" s="143"/>
      <c r="C1215" s="142"/>
      <c r="D1215" s="141"/>
      <c r="E1215" s="140"/>
      <c r="F1215" s="144"/>
    </row>
    <row r="1216" spans="2:6">
      <c r="B1216" s="143"/>
      <c r="C1216" s="142"/>
      <c r="D1216" s="141"/>
      <c r="E1216" s="140"/>
      <c r="F1216" s="144"/>
    </row>
    <row r="1217" spans="2:6">
      <c r="B1217" s="143"/>
      <c r="C1217" s="142"/>
      <c r="D1217" s="141"/>
      <c r="E1217" s="140"/>
      <c r="F1217" s="144"/>
    </row>
    <row r="1218" spans="2:6">
      <c r="B1218" s="143"/>
      <c r="C1218" s="142"/>
      <c r="D1218" s="141"/>
      <c r="E1218" s="140"/>
      <c r="F1218" s="144"/>
    </row>
    <row r="1219" spans="2:6">
      <c r="B1219" s="143"/>
      <c r="C1219" s="142"/>
      <c r="D1219" s="141"/>
      <c r="E1219" s="140"/>
      <c r="F1219" s="144"/>
    </row>
    <row r="1220" spans="2:6">
      <c r="B1220" s="143"/>
      <c r="C1220" s="142"/>
      <c r="D1220" s="141"/>
      <c r="E1220" s="140"/>
      <c r="F1220" s="144"/>
    </row>
    <row r="1221" spans="2:6">
      <c r="B1221" s="143"/>
      <c r="C1221" s="142"/>
      <c r="D1221" s="141"/>
      <c r="E1221" s="140"/>
      <c r="F1221" s="144"/>
    </row>
    <row r="1222" spans="2:6">
      <c r="B1222" s="143"/>
      <c r="C1222" s="142"/>
      <c r="D1222" s="141"/>
      <c r="E1222" s="140"/>
      <c r="F1222" s="144"/>
    </row>
    <row r="1223" spans="2:6">
      <c r="B1223" s="143"/>
      <c r="C1223" s="142"/>
      <c r="D1223" s="141"/>
      <c r="E1223" s="140"/>
      <c r="F1223" s="144"/>
    </row>
    <row r="1224" spans="2:6">
      <c r="B1224" s="143"/>
      <c r="C1224" s="142"/>
      <c r="D1224" s="141"/>
      <c r="E1224" s="140"/>
      <c r="F1224" s="144"/>
    </row>
    <row r="1225" spans="2:6">
      <c r="B1225" s="143"/>
      <c r="C1225" s="142"/>
      <c r="D1225" s="141"/>
      <c r="E1225" s="140"/>
      <c r="F1225" s="144"/>
    </row>
    <row r="1226" spans="2:6">
      <c r="B1226" s="143"/>
      <c r="C1226" s="142"/>
      <c r="D1226" s="141"/>
      <c r="E1226" s="140"/>
      <c r="F1226" s="144"/>
    </row>
    <row r="1227" spans="2:6">
      <c r="B1227" s="143"/>
      <c r="C1227" s="142"/>
      <c r="D1227" s="141"/>
      <c r="E1227" s="140"/>
      <c r="F1227" s="144"/>
    </row>
    <row r="1228" spans="2:6">
      <c r="B1228" s="143"/>
      <c r="C1228" s="142"/>
      <c r="D1228" s="141"/>
      <c r="E1228" s="140"/>
      <c r="F1228" s="144"/>
    </row>
    <row r="1229" spans="2:6">
      <c r="B1229" s="143"/>
      <c r="C1229" s="142"/>
      <c r="D1229" s="141"/>
      <c r="E1229" s="140"/>
      <c r="F1229" s="144"/>
    </row>
    <row r="1230" spans="2:6">
      <c r="B1230" s="143"/>
      <c r="C1230" s="142"/>
      <c r="D1230" s="141"/>
      <c r="E1230" s="140"/>
      <c r="F1230" s="144"/>
    </row>
    <row r="1231" spans="2:6">
      <c r="B1231" s="143"/>
      <c r="C1231" s="142"/>
      <c r="D1231" s="141"/>
      <c r="E1231" s="140"/>
      <c r="F1231" s="144"/>
    </row>
    <row r="1232" spans="2:6">
      <c r="B1232" s="143"/>
      <c r="C1232" s="142"/>
      <c r="D1232" s="141"/>
      <c r="E1232" s="140"/>
      <c r="F1232" s="144"/>
    </row>
    <row r="1233" spans="2:6">
      <c r="B1233" s="143"/>
      <c r="C1233" s="142"/>
      <c r="D1233" s="141"/>
      <c r="E1233" s="140"/>
      <c r="F1233" s="144"/>
    </row>
    <row r="1234" spans="2:6">
      <c r="B1234" s="143"/>
      <c r="C1234" s="142"/>
      <c r="D1234" s="141"/>
      <c r="E1234" s="140"/>
      <c r="F1234" s="144"/>
    </row>
    <row r="1235" spans="2:6">
      <c r="B1235" s="143"/>
      <c r="C1235" s="142"/>
      <c r="D1235" s="141"/>
      <c r="E1235" s="140"/>
      <c r="F1235" s="144"/>
    </row>
    <row r="1236" spans="2:6">
      <c r="B1236" s="143"/>
      <c r="C1236" s="142"/>
      <c r="D1236" s="141"/>
      <c r="E1236" s="140"/>
      <c r="F1236" s="144"/>
    </row>
    <row r="1237" spans="2:6">
      <c r="B1237" s="143"/>
      <c r="C1237" s="142"/>
      <c r="D1237" s="141"/>
      <c r="E1237" s="140"/>
      <c r="F1237" s="144"/>
    </row>
    <row r="1238" spans="2:6">
      <c r="B1238" s="143"/>
      <c r="C1238" s="142"/>
      <c r="D1238" s="141"/>
      <c r="E1238" s="140"/>
      <c r="F1238" s="144"/>
    </row>
    <row r="1239" spans="2:6">
      <c r="B1239" s="143"/>
      <c r="C1239" s="142"/>
      <c r="D1239" s="141"/>
      <c r="E1239" s="140"/>
      <c r="F1239" s="144"/>
    </row>
    <row r="1240" spans="2:6">
      <c r="B1240" s="143"/>
      <c r="C1240" s="142"/>
      <c r="D1240" s="141"/>
      <c r="E1240" s="140"/>
      <c r="F1240" s="144"/>
    </row>
    <row r="1241" spans="2:6">
      <c r="B1241" s="143"/>
      <c r="C1241" s="142"/>
      <c r="D1241" s="141"/>
      <c r="E1241" s="140"/>
      <c r="F1241" s="144"/>
    </row>
    <row r="1242" spans="2:6">
      <c r="B1242" s="143"/>
      <c r="C1242" s="142"/>
      <c r="D1242" s="141"/>
      <c r="E1242" s="140"/>
      <c r="F1242" s="144"/>
    </row>
    <row r="1243" spans="2:6">
      <c r="B1243" s="143"/>
      <c r="C1243" s="142"/>
      <c r="D1243" s="141"/>
      <c r="E1243" s="140"/>
      <c r="F1243" s="144"/>
    </row>
    <row r="1244" spans="2:6">
      <c r="B1244" s="143"/>
      <c r="C1244" s="142"/>
      <c r="D1244" s="141"/>
      <c r="E1244" s="140"/>
      <c r="F1244" s="144"/>
    </row>
    <row r="1245" spans="2:6">
      <c r="B1245" s="143"/>
      <c r="C1245" s="142"/>
      <c r="D1245" s="141"/>
      <c r="E1245" s="140"/>
      <c r="F1245" s="144"/>
    </row>
    <row r="1246" spans="2:6">
      <c r="B1246" s="143"/>
      <c r="C1246" s="142"/>
      <c r="D1246" s="141"/>
      <c r="E1246" s="140"/>
      <c r="F1246" s="144"/>
    </row>
    <row r="1247" spans="2:6">
      <c r="B1247" s="143"/>
      <c r="C1247" s="142"/>
      <c r="D1247" s="141"/>
      <c r="E1247" s="140"/>
      <c r="F1247" s="144"/>
    </row>
    <row r="1248" spans="2:6">
      <c r="B1248" s="143"/>
      <c r="C1248" s="142"/>
      <c r="D1248" s="141"/>
      <c r="E1248" s="140"/>
      <c r="F1248" s="144"/>
    </row>
    <row r="1249" spans="2:6">
      <c r="B1249" s="143"/>
      <c r="C1249" s="142"/>
      <c r="D1249" s="141"/>
      <c r="E1249" s="140"/>
      <c r="F1249" s="144"/>
    </row>
    <row r="1250" spans="2:6">
      <c r="B1250" s="143"/>
      <c r="C1250" s="142"/>
      <c r="D1250" s="141"/>
      <c r="E1250" s="140"/>
      <c r="F1250" s="144"/>
    </row>
    <row r="1251" spans="2:6">
      <c r="B1251" s="143"/>
      <c r="C1251" s="142"/>
      <c r="D1251" s="141"/>
      <c r="E1251" s="140"/>
      <c r="F1251" s="144"/>
    </row>
    <row r="1252" spans="2:6">
      <c r="B1252" s="143"/>
      <c r="C1252" s="142"/>
      <c r="D1252" s="141"/>
      <c r="E1252" s="140"/>
      <c r="F1252" s="144"/>
    </row>
    <row r="1253" spans="2:6">
      <c r="B1253" s="143"/>
      <c r="C1253" s="142"/>
      <c r="D1253" s="141"/>
      <c r="E1253" s="140"/>
      <c r="F1253" s="144"/>
    </row>
    <row r="1254" spans="2:6">
      <c r="B1254" s="143"/>
      <c r="C1254" s="142"/>
      <c r="D1254" s="141"/>
      <c r="E1254" s="140"/>
      <c r="F1254" s="144"/>
    </row>
    <row r="1255" spans="2:6">
      <c r="B1255" s="143"/>
      <c r="C1255" s="142"/>
      <c r="D1255" s="141"/>
      <c r="E1255" s="140"/>
      <c r="F1255" s="144"/>
    </row>
    <row r="1256" spans="2:6">
      <c r="B1256" s="143"/>
      <c r="C1256" s="142"/>
      <c r="D1256" s="141"/>
      <c r="E1256" s="140"/>
      <c r="F1256" s="144"/>
    </row>
    <row r="1257" spans="2:6">
      <c r="B1257" s="143"/>
      <c r="C1257" s="142"/>
      <c r="D1257" s="141"/>
      <c r="E1257" s="140"/>
      <c r="F1257" s="144"/>
    </row>
    <row r="1258" spans="2:6">
      <c r="B1258" s="143"/>
      <c r="C1258" s="142"/>
      <c r="D1258" s="141"/>
      <c r="E1258" s="140"/>
      <c r="F1258" s="144"/>
    </row>
    <row r="1259" spans="2:6">
      <c r="B1259" s="143"/>
      <c r="C1259" s="142"/>
      <c r="D1259" s="141"/>
      <c r="E1259" s="140"/>
      <c r="F1259" s="144"/>
    </row>
    <row r="1260" spans="2:6">
      <c r="B1260" s="143"/>
      <c r="C1260" s="142"/>
      <c r="D1260" s="141"/>
      <c r="E1260" s="140"/>
      <c r="F1260" s="144"/>
    </row>
    <row r="1261" spans="2:6">
      <c r="B1261" s="143"/>
      <c r="C1261" s="142"/>
      <c r="D1261" s="141"/>
      <c r="E1261" s="140"/>
      <c r="F1261" s="144"/>
    </row>
    <row r="1262" spans="2:6">
      <c r="B1262" s="143"/>
      <c r="C1262" s="142"/>
      <c r="D1262" s="141"/>
      <c r="E1262" s="140"/>
      <c r="F1262" s="144"/>
    </row>
    <row r="1263" spans="2:6">
      <c r="B1263" s="143"/>
      <c r="C1263" s="142"/>
      <c r="D1263" s="141"/>
      <c r="E1263" s="140"/>
      <c r="F1263" s="144"/>
    </row>
    <row r="1264" spans="2:6">
      <c r="B1264" s="143"/>
      <c r="C1264" s="142"/>
      <c r="D1264" s="141"/>
      <c r="E1264" s="140"/>
      <c r="F1264" s="144"/>
    </row>
    <row r="1265" spans="2:6">
      <c r="B1265" s="143"/>
      <c r="C1265" s="142"/>
      <c r="D1265" s="141"/>
      <c r="E1265" s="140"/>
      <c r="F1265" s="144"/>
    </row>
    <row r="1266" spans="2:6">
      <c r="B1266" s="143"/>
      <c r="C1266" s="142"/>
      <c r="D1266" s="141"/>
      <c r="E1266" s="140"/>
      <c r="F1266" s="144"/>
    </row>
    <row r="1267" spans="2:6">
      <c r="B1267" s="143"/>
      <c r="C1267" s="142"/>
      <c r="D1267" s="141"/>
      <c r="E1267" s="140"/>
      <c r="F1267" s="144"/>
    </row>
    <row r="1268" spans="2:6">
      <c r="B1268" s="143"/>
      <c r="C1268" s="142"/>
      <c r="D1268" s="141"/>
      <c r="E1268" s="140"/>
      <c r="F1268" s="144"/>
    </row>
    <row r="1269" spans="2:6">
      <c r="B1269" s="143"/>
      <c r="C1269" s="142"/>
      <c r="D1269" s="141"/>
      <c r="E1269" s="140"/>
      <c r="F1269" s="144"/>
    </row>
    <row r="1270" spans="2:6">
      <c r="B1270" s="143"/>
      <c r="C1270" s="142"/>
      <c r="D1270" s="141"/>
      <c r="E1270" s="140"/>
      <c r="F1270" s="144"/>
    </row>
    <row r="1271" spans="2:6">
      <c r="B1271" s="143"/>
      <c r="C1271" s="142"/>
      <c r="D1271" s="141"/>
      <c r="E1271" s="140"/>
      <c r="F1271" s="144"/>
    </row>
    <row r="1272" spans="2:6">
      <c r="B1272" s="143"/>
      <c r="C1272" s="142"/>
      <c r="D1272" s="141"/>
      <c r="E1272" s="140"/>
      <c r="F1272" s="144"/>
    </row>
    <row r="1273" spans="2:6">
      <c r="B1273" s="143"/>
      <c r="C1273" s="142"/>
      <c r="D1273" s="141"/>
      <c r="E1273" s="140"/>
      <c r="F1273" s="144"/>
    </row>
    <row r="1274" spans="2:6">
      <c r="B1274" s="143"/>
      <c r="C1274" s="142"/>
      <c r="D1274" s="141"/>
      <c r="E1274" s="140"/>
      <c r="F1274" s="144"/>
    </row>
    <row r="1275" spans="2:6">
      <c r="B1275" s="143"/>
      <c r="C1275" s="142"/>
      <c r="D1275" s="141"/>
      <c r="E1275" s="140"/>
      <c r="F1275" s="144"/>
    </row>
    <row r="1276" spans="2:6">
      <c r="B1276" s="143"/>
      <c r="C1276" s="142"/>
      <c r="D1276" s="141"/>
      <c r="E1276" s="140"/>
      <c r="F1276" s="144"/>
    </row>
    <row r="1277" spans="2:6">
      <c r="B1277" s="143"/>
      <c r="C1277" s="142"/>
      <c r="D1277" s="141"/>
      <c r="E1277" s="140"/>
      <c r="F1277" s="144"/>
    </row>
    <row r="1278" spans="2:6">
      <c r="B1278" s="143"/>
      <c r="C1278" s="142"/>
      <c r="D1278" s="141"/>
      <c r="E1278" s="140"/>
      <c r="F1278" s="144"/>
    </row>
    <row r="1279" spans="2:6">
      <c r="B1279" s="143"/>
      <c r="C1279" s="142"/>
      <c r="D1279" s="141"/>
      <c r="E1279" s="140"/>
      <c r="F1279" s="144"/>
    </row>
    <row r="1280" spans="2:6">
      <c r="B1280" s="143"/>
      <c r="C1280" s="142"/>
      <c r="D1280" s="141"/>
      <c r="E1280" s="140"/>
      <c r="F1280" s="144"/>
    </row>
    <row r="1281" spans="2:6">
      <c r="B1281" s="143"/>
      <c r="C1281" s="142"/>
      <c r="D1281" s="141"/>
      <c r="E1281" s="140"/>
      <c r="F1281" s="144"/>
    </row>
    <row r="1282" spans="2:6">
      <c r="B1282" s="143"/>
      <c r="C1282" s="142"/>
      <c r="D1282" s="141"/>
      <c r="E1282" s="140"/>
      <c r="F1282" s="144"/>
    </row>
    <row r="1283" spans="2:6">
      <c r="B1283" s="143"/>
      <c r="C1283" s="142"/>
      <c r="D1283" s="141"/>
      <c r="E1283" s="140"/>
      <c r="F1283" s="144"/>
    </row>
    <row r="1284" spans="2:6">
      <c r="B1284" s="143"/>
      <c r="C1284" s="142"/>
      <c r="D1284" s="141"/>
      <c r="E1284" s="140"/>
      <c r="F1284" s="144"/>
    </row>
    <row r="1285" spans="2:6">
      <c r="B1285" s="143"/>
      <c r="C1285" s="142"/>
      <c r="D1285" s="141"/>
      <c r="E1285" s="140"/>
      <c r="F1285" s="144"/>
    </row>
    <row r="1286" spans="2:6">
      <c r="B1286" s="143"/>
      <c r="C1286" s="142"/>
      <c r="D1286" s="141"/>
      <c r="E1286" s="140"/>
      <c r="F1286" s="144"/>
    </row>
    <row r="1287" spans="2:6">
      <c r="B1287" s="143"/>
      <c r="C1287" s="142"/>
      <c r="D1287" s="141"/>
      <c r="E1287" s="140"/>
      <c r="F1287" s="144"/>
    </row>
    <row r="1288" spans="2:6">
      <c r="B1288" s="143"/>
      <c r="C1288" s="142"/>
      <c r="D1288" s="141"/>
      <c r="E1288" s="140"/>
      <c r="F1288" s="144"/>
    </row>
    <row r="1289" spans="2:6">
      <c r="B1289" s="143"/>
      <c r="C1289" s="142"/>
      <c r="D1289" s="141"/>
      <c r="E1289" s="140"/>
      <c r="F1289" s="144"/>
    </row>
    <row r="1290" spans="2:6">
      <c r="B1290" s="143"/>
      <c r="C1290" s="142"/>
      <c r="D1290" s="141"/>
      <c r="E1290" s="140"/>
      <c r="F1290" s="144"/>
    </row>
    <row r="1291" spans="2:6">
      <c r="B1291" s="143"/>
      <c r="C1291" s="142"/>
      <c r="D1291" s="141"/>
      <c r="E1291" s="140"/>
      <c r="F1291" s="144"/>
    </row>
    <row r="1292" spans="2:6">
      <c r="B1292" s="143"/>
      <c r="C1292" s="142"/>
      <c r="D1292" s="141"/>
      <c r="E1292" s="140"/>
      <c r="F1292" s="144"/>
    </row>
    <row r="1293" spans="2:6">
      <c r="B1293" s="143"/>
      <c r="C1293" s="142"/>
      <c r="D1293" s="141"/>
      <c r="E1293" s="140"/>
      <c r="F1293" s="144"/>
    </row>
    <row r="1294" spans="2:6">
      <c r="B1294" s="143"/>
      <c r="C1294" s="142"/>
      <c r="D1294" s="141"/>
      <c r="E1294" s="140"/>
      <c r="F1294" s="144"/>
    </row>
    <row r="1295" spans="2:6">
      <c r="B1295" s="143"/>
      <c r="C1295" s="142"/>
      <c r="D1295" s="141"/>
      <c r="E1295" s="140"/>
      <c r="F1295" s="14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8BF8-1C0D-3546-B04B-C185510E82FA}">
  <dimension ref="A1:L75"/>
  <sheetViews>
    <sheetView zoomScale="75" workbookViewId="0">
      <selection activeCell="I29" sqref="I29"/>
    </sheetView>
  </sheetViews>
  <sheetFormatPr baseColWidth="10" defaultRowHeight="16"/>
  <cols>
    <col min="2" max="2" width="22.33203125" bestFit="1" customWidth="1"/>
  </cols>
  <sheetData>
    <row r="1" spans="1:12" ht="17" thickBot="1">
      <c r="A1" t="s">
        <v>90</v>
      </c>
    </row>
    <row r="2" spans="1:12">
      <c r="B2" s="43"/>
      <c r="C2" s="44" t="s">
        <v>39</v>
      </c>
      <c r="D2" s="44" t="s">
        <v>40</v>
      </c>
      <c r="E2" s="44" t="s">
        <v>41</v>
      </c>
      <c r="F2" s="44" t="s">
        <v>42</v>
      </c>
      <c r="G2" s="44" t="s">
        <v>43</v>
      </c>
      <c r="H2" s="44" t="s">
        <v>72</v>
      </c>
      <c r="I2" s="44" t="s">
        <v>135</v>
      </c>
      <c r="J2" s="44" t="s">
        <v>136</v>
      </c>
      <c r="K2" s="44" t="s">
        <v>137</v>
      </c>
      <c r="L2" s="45" t="s">
        <v>138</v>
      </c>
    </row>
    <row r="3" spans="1:12">
      <c r="B3" s="23" t="s">
        <v>45</v>
      </c>
      <c r="L3" s="37"/>
    </row>
    <row r="4" spans="1:12">
      <c r="B4" s="23" t="s">
        <v>46</v>
      </c>
      <c r="C4" s="11">
        <v>0.18</v>
      </c>
      <c r="D4" s="11">
        <v>0.08</v>
      </c>
      <c r="E4" s="11">
        <v>7.0000000000000007E-2</v>
      </c>
      <c r="F4" s="11">
        <v>0.06</v>
      </c>
      <c r="G4" s="11">
        <v>0.06</v>
      </c>
      <c r="H4" s="1">
        <v>5.5E-2</v>
      </c>
      <c r="I4" s="6">
        <v>0.05</v>
      </c>
      <c r="J4" s="1">
        <v>4.4999999999999998E-2</v>
      </c>
      <c r="K4" s="1">
        <v>0.04</v>
      </c>
      <c r="L4" s="40">
        <v>3.5000000000000003E-2</v>
      </c>
    </row>
    <row r="5" spans="1:12">
      <c r="B5" s="23" t="s">
        <v>11</v>
      </c>
      <c r="C5" s="11">
        <v>0.4</v>
      </c>
      <c r="D5" s="11">
        <v>0.40500000000000003</v>
      </c>
      <c r="E5" s="11">
        <v>0.40500000000000003</v>
      </c>
      <c r="F5" s="11">
        <v>0.40500000000000003</v>
      </c>
      <c r="G5" s="11">
        <v>0.40500000000000003</v>
      </c>
      <c r="H5" s="47">
        <v>0.40500000000000003</v>
      </c>
      <c r="I5" s="47">
        <v>0.40500000000000003</v>
      </c>
      <c r="J5" s="47">
        <v>0.40500000000000003</v>
      </c>
      <c r="K5" s="47">
        <v>0.40500000000000003</v>
      </c>
      <c r="L5" s="36">
        <v>0.40500000000000003</v>
      </c>
    </row>
    <row r="6" spans="1:12">
      <c r="B6" s="23" t="s">
        <v>47</v>
      </c>
      <c r="C6" s="11">
        <v>0.09</v>
      </c>
      <c r="D6" s="11">
        <v>0.04</v>
      </c>
      <c r="E6" s="11">
        <v>0.05</v>
      </c>
      <c r="F6" s="11">
        <v>0.05</v>
      </c>
      <c r="G6" s="11">
        <v>0.05</v>
      </c>
      <c r="H6" s="47">
        <v>0.05</v>
      </c>
      <c r="I6" s="47">
        <v>0.05</v>
      </c>
      <c r="J6" s="47">
        <v>4.4999999999999998E-2</v>
      </c>
      <c r="K6" s="47">
        <v>4.4999999999999998E-2</v>
      </c>
      <c r="L6" s="40">
        <v>0.04</v>
      </c>
    </row>
    <row r="7" spans="1:12">
      <c r="B7" s="23"/>
      <c r="C7" s="11"/>
      <c r="D7" s="11"/>
      <c r="E7" s="11"/>
      <c r="F7" s="11"/>
      <c r="G7" s="11"/>
      <c r="L7" s="37"/>
    </row>
    <row r="8" spans="1:12">
      <c r="B8" s="23" t="s">
        <v>48</v>
      </c>
      <c r="C8" s="11"/>
      <c r="D8" s="11"/>
      <c r="E8" s="11"/>
      <c r="F8" s="11"/>
      <c r="G8" s="11"/>
      <c r="L8" s="37"/>
    </row>
    <row r="9" spans="1:12">
      <c r="B9" s="23" t="s">
        <v>46</v>
      </c>
      <c r="C9" s="11">
        <v>-0.05</v>
      </c>
      <c r="D9" s="11">
        <v>0.08</v>
      </c>
      <c r="E9" s="11">
        <v>0.1</v>
      </c>
      <c r="F9" s="11">
        <v>0.08</v>
      </c>
      <c r="G9" s="11">
        <v>7.0000000000000007E-2</v>
      </c>
      <c r="H9" s="47">
        <v>5.5E-2</v>
      </c>
      <c r="I9" s="47">
        <v>0.05</v>
      </c>
      <c r="J9" s="47">
        <v>4.4999999999999998E-2</v>
      </c>
      <c r="K9" s="47">
        <v>3.5000000000000003E-2</v>
      </c>
      <c r="L9" s="51">
        <v>0.03</v>
      </c>
    </row>
    <row r="10" spans="1:12">
      <c r="B10" s="23" t="s">
        <v>11</v>
      </c>
      <c r="C10" s="11">
        <v>0.47</v>
      </c>
      <c r="D10" s="11">
        <v>0.49</v>
      </c>
      <c r="E10" s="11">
        <v>0.505</v>
      </c>
      <c r="F10" s="11">
        <v>0.51500000000000001</v>
      </c>
      <c r="G10" s="11">
        <v>0.52</v>
      </c>
      <c r="H10" s="47">
        <v>0.52</v>
      </c>
      <c r="I10" s="1">
        <v>0.52</v>
      </c>
      <c r="J10" s="1">
        <v>0.52</v>
      </c>
      <c r="K10" s="1">
        <v>0.52</v>
      </c>
      <c r="L10" s="40">
        <v>0.52</v>
      </c>
    </row>
    <row r="11" spans="1:12">
      <c r="B11" s="23" t="s">
        <v>47</v>
      </c>
      <c r="C11" s="11">
        <v>-0.06</v>
      </c>
      <c r="D11" s="11">
        <v>0.02</v>
      </c>
      <c r="E11" s="11">
        <v>0.04</v>
      </c>
      <c r="F11" s="11">
        <v>0.04</v>
      </c>
      <c r="G11" s="11">
        <v>0.04</v>
      </c>
      <c r="H11" s="47">
        <v>0.04</v>
      </c>
      <c r="I11" s="47">
        <v>0.04</v>
      </c>
      <c r="J11" s="47">
        <v>0.04</v>
      </c>
      <c r="K11" s="47">
        <v>3.5000000000000003E-2</v>
      </c>
      <c r="L11" s="51">
        <v>0.03</v>
      </c>
    </row>
    <row r="12" spans="1:12">
      <c r="B12" s="23"/>
      <c r="C12" s="11"/>
      <c r="D12" s="11"/>
      <c r="E12" s="11"/>
      <c r="F12" s="11"/>
      <c r="G12" s="11"/>
      <c r="L12" s="37"/>
    </row>
    <row r="13" spans="1:12">
      <c r="B13" s="23" t="s">
        <v>49</v>
      </c>
      <c r="C13" s="11"/>
      <c r="D13" s="11"/>
      <c r="E13" s="11"/>
      <c r="F13" s="11"/>
      <c r="G13" s="11"/>
      <c r="L13" s="37"/>
    </row>
    <row r="14" spans="1:12">
      <c r="B14" s="23" t="s">
        <v>46</v>
      </c>
      <c r="C14" s="11">
        <v>7.0000000000000007E-2</v>
      </c>
      <c r="D14" s="11">
        <v>7.0000000000000007E-2</v>
      </c>
      <c r="E14" s="11">
        <v>7.0000000000000007E-2</v>
      </c>
      <c r="F14" s="11">
        <v>6.5000000000000002E-2</v>
      </c>
      <c r="G14" s="11">
        <v>0.06</v>
      </c>
      <c r="H14" s="47">
        <v>5.2499999999999998E-2</v>
      </c>
      <c r="I14" s="47">
        <v>0.05</v>
      </c>
      <c r="J14" s="47">
        <v>4.4999999999999998E-2</v>
      </c>
      <c r="K14" s="47">
        <v>0.04</v>
      </c>
      <c r="L14" s="51">
        <v>0.03</v>
      </c>
    </row>
    <row r="15" spans="1:12">
      <c r="B15" s="23" t="s">
        <v>11</v>
      </c>
      <c r="C15" s="11">
        <v>0.44</v>
      </c>
      <c r="D15" s="11">
        <v>0.45</v>
      </c>
      <c r="E15" s="11">
        <v>0.45500000000000002</v>
      </c>
      <c r="F15" s="11">
        <v>0.45500000000000002</v>
      </c>
      <c r="G15" s="11">
        <v>0.45500000000000002</v>
      </c>
      <c r="H15" s="47">
        <v>0.45500000000000002</v>
      </c>
      <c r="I15" s="47">
        <v>0.45500000000000002</v>
      </c>
      <c r="J15" s="47">
        <v>0.45500000000000002</v>
      </c>
      <c r="K15" s="47">
        <v>0.45500000000000002</v>
      </c>
      <c r="L15" s="40">
        <v>0.45500000000000002</v>
      </c>
    </row>
    <row r="16" spans="1:12">
      <c r="B16" s="23" t="s">
        <v>47</v>
      </c>
      <c r="C16" s="11">
        <v>0.05</v>
      </c>
      <c r="D16" s="11">
        <v>0.04</v>
      </c>
      <c r="E16" s="11">
        <v>0.04</v>
      </c>
      <c r="F16" s="11">
        <v>0.04</v>
      </c>
      <c r="G16" s="11">
        <v>0.04</v>
      </c>
      <c r="H16" s="47">
        <v>0.04</v>
      </c>
      <c r="I16" s="47">
        <v>0.04</v>
      </c>
      <c r="J16" s="47">
        <v>0.04</v>
      </c>
      <c r="K16" s="47">
        <v>0.04</v>
      </c>
      <c r="L16" s="51">
        <v>0.04</v>
      </c>
    </row>
    <row r="17" spans="1:12">
      <c r="B17" s="23"/>
      <c r="L17" s="37"/>
    </row>
    <row r="18" spans="1:12">
      <c r="B18" s="23"/>
      <c r="L18" s="37"/>
    </row>
    <row r="19" spans="1:12">
      <c r="B19" s="23" t="s">
        <v>61</v>
      </c>
      <c r="C19" s="6">
        <v>0.02</v>
      </c>
      <c r="D19" s="1">
        <v>1.9E-2</v>
      </c>
      <c r="E19" s="47">
        <v>1.7999999999999999E-2</v>
      </c>
      <c r="F19" s="1">
        <v>1.7000000000000001E-2</v>
      </c>
      <c r="G19" s="1">
        <v>1.7000000000000001E-2</v>
      </c>
      <c r="H19" s="47">
        <v>1.6E-2</v>
      </c>
      <c r="I19" s="47">
        <v>1.4999999999999999E-2</v>
      </c>
      <c r="J19" s="47">
        <v>1.3999999999999999E-2</v>
      </c>
      <c r="K19" s="47">
        <v>1.2999999999999999E-2</v>
      </c>
      <c r="L19" s="40">
        <v>1.2E-2</v>
      </c>
    </row>
    <row r="20" spans="1:12">
      <c r="B20" s="23" t="s">
        <v>52</v>
      </c>
      <c r="C20" s="1">
        <v>0.245</v>
      </c>
      <c r="D20" s="1">
        <v>0.245</v>
      </c>
      <c r="E20" s="1">
        <v>0.245</v>
      </c>
      <c r="F20" s="1">
        <v>0.245</v>
      </c>
      <c r="G20" s="1">
        <v>0.245</v>
      </c>
      <c r="H20" s="1">
        <v>0.245</v>
      </c>
      <c r="I20" s="1">
        <v>0.245</v>
      </c>
      <c r="J20" s="1">
        <v>0.245</v>
      </c>
      <c r="K20" s="1">
        <v>0.245</v>
      </c>
      <c r="L20" s="1">
        <v>0.245</v>
      </c>
    </row>
    <row r="21" spans="1:12">
      <c r="B21" s="23" t="s">
        <v>62</v>
      </c>
      <c r="C21" s="1">
        <v>8.5000000000000006E-2</v>
      </c>
      <c r="D21" s="1">
        <v>8.3000000000000004E-2</v>
      </c>
      <c r="E21" s="6">
        <v>0.08</v>
      </c>
      <c r="F21" s="1">
        <v>7.8E-2</v>
      </c>
      <c r="G21" s="1">
        <v>7.4999999999999997E-2</v>
      </c>
      <c r="H21" s="1">
        <v>7.2999999999999995E-2</v>
      </c>
      <c r="I21" s="1">
        <v>7.0999999999999994E-2</v>
      </c>
      <c r="J21" s="1">
        <v>6.9000000000000006E-2</v>
      </c>
      <c r="K21" s="1">
        <v>6.7000000000000004E-2</v>
      </c>
      <c r="L21" s="40">
        <v>6.5000000000000002E-2</v>
      </c>
    </row>
    <row r="22" spans="1:12">
      <c r="B22" s="23" t="s">
        <v>63</v>
      </c>
      <c r="C22" s="6">
        <v>0.1</v>
      </c>
      <c r="D22" s="1">
        <v>9.5000000000000001E-2</v>
      </c>
      <c r="E22" s="6">
        <v>0.09</v>
      </c>
      <c r="F22" s="1">
        <v>8.5000000000000006E-2</v>
      </c>
      <c r="G22" s="6">
        <v>0.08</v>
      </c>
      <c r="H22" s="1">
        <v>7.8E-2</v>
      </c>
      <c r="I22" s="1">
        <v>7.8E-2</v>
      </c>
      <c r="J22" s="1">
        <v>7.8E-2</v>
      </c>
      <c r="K22" s="1">
        <v>7.8E-2</v>
      </c>
      <c r="L22" s="51">
        <v>7.8E-2</v>
      </c>
    </row>
    <row r="23" spans="1:12" ht="17" thickBot="1">
      <c r="B23" s="28" t="s">
        <v>64</v>
      </c>
      <c r="C23" s="52">
        <v>0.25</v>
      </c>
      <c r="D23" s="52">
        <v>0.245</v>
      </c>
      <c r="E23" s="52">
        <v>0.24</v>
      </c>
      <c r="F23" s="52">
        <v>0.23499999999999999</v>
      </c>
      <c r="G23" s="65">
        <v>0.23</v>
      </c>
      <c r="H23" s="65">
        <v>0.23</v>
      </c>
      <c r="I23" s="65">
        <v>0.22800000000000001</v>
      </c>
      <c r="J23" s="64">
        <v>0.22600000000000001</v>
      </c>
      <c r="K23" s="65">
        <v>0.22500000000000001</v>
      </c>
      <c r="L23" s="53">
        <v>0.22500000000000001</v>
      </c>
    </row>
    <row r="26" spans="1:12" s="62" customFormat="1"/>
    <row r="27" spans="1:12" ht="17" thickBot="1">
      <c r="A27" t="s">
        <v>91</v>
      </c>
    </row>
    <row r="28" spans="1:12">
      <c r="B28" s="43"/>
      <c r="C28" s="44" t="s">
        <v>39</v>
      </c>
      <c r="D28" s="44" t="s">
        <v>40</v>
      </c>
      <c r="E28" s="44" t="s">
        <v>41</v>
      </c>
      <c r="F28" s="44" t="s">
        <v>42</v>
      </c>
      <c r="G28" s="44" t="s">
        <v>43</v>
      </c>
      <c r="H28" s="44" t="str">
        <f>H2</f>
        <v>2031E</v>
      </c>
      <c r="I28" s="44" t="str">
        <f t="shared" ref="I28:L28" si="0">I2</f>
        <v>2032E</v>
      </c>
      <c r="J28" s="44" t="str">
        <f t="shared" si="0"/>
        <v>2033E</v>
      </c>
      <c r="K28" s="44" t="str">
        <f t="shared" si="0"/>
        <v>2034E</v>
      </c>
      <c r="L28" s="45" t="str">
        <f t="shared" si="0"/>
        <v>2035E</v>
      </c>
    </row>
    <row r="29" spans="1:12">
      <c r="B29" s="23" t="s">
        <v>45</v>
      </c>
      <c r="L29" s="37"/>
    </row>
    <row r="30" spans="1:12">
      <c r="B30" s="23" t="s">
        <v>46</v>
      </c>
      <c r="C30" s="11">
        <v>0.16</v>
      </c>
      <c r="D30" s="11">
        <v>7.0000000000000007E-2</v>
      </c>
      <c r="E30" s="11">
        <v>0.06</v>
      </c>
      <c r="F30" s="11">
        <v>0.05</v>
      </c>
      <c r="G30" s="11">
        <v>0.05</v>
      </c>
      <c r="H30" s="47">
        <v>4.4999999999999998E-2</v>
      </c>
      <c r="I30" s="47">
        <v>0.04</v>
      </c>
      <c r="J30" s="47">
        <v>3.5000000000000003E-2</v>
      </c>
      <c r="K30" s="47">
        <v>0.03</v>
      </c>
      <c r="L30" s="121">
        <v>2.5000000000000001E-2</v>
      </c>
    </row>
    <row r="31" spans="1:12">
      <c r="B31" s="23" t="s">
        <v>11</v>
      </c>
      <c r="C31" s="11">
        <v>0.39500000000000002</v>
      </c>
      <c r="D31" s="11">
        <v>0.4</v>
      </c>
      <c r="E31" s="11">
        <v>0.4</v>
      </c>
      <c r="F31" s="11">
        <v>0.40200000000000002</v>
      </c>
      <c r="G31" s="11">
        <v>0.40200000000000002</v>
      </c>
      <c r="H31" s="47">
        <v>0.40200000000000002</v>
      </c>
      <c r="I31" s="47">
        <v>0.40399999999999997</v>
      </c>
      <c r="J31" s="47">
        <v>0.40500000000000003</v>
      </c>
      <c r="K31" s="12">
        <v>0.40500000000000003</v>
      </c>
      <c r="L31" s="119">
        <v>0.40500000000000003</v>
      </c>
    </row>
    <row r="32" spans="1:12">
      <c r="B32" s="23" t="s">
        <v>47</v>
      </c>
      <c r="C32" s="11">
        <v>9.5000000000000001E-2</v>
      </c>
      <c r="D32" s="11">
        <v>0.05</v>
      </c>
      <c r="E32" s="11">
        <v>0.05</v>
      </c>
      <c r="F32" s="11">
        <v>5.5E-2</v>
      </c>
      <c r="G32" s="11">
        <v>5.5E-2</v>
      </c>
      <c r="H32" s="47">
        <v>4.4999999999999998E-2</v>
      </c>
      <c r="I32" s="47">
        <v>4.2000000000000003E-2</v>
      </c>
      <c r="J32" s="47">
        <v>0.04</v>
      </c>
      <c r="K32" s="47">
        <v>3.7999999999999999E-2</v>
      </c>
      <c r="L32" s="121">
        <v>3.5000000000000003E-2</v>
      </c>
    </row>
    <row r="33" spans="2:12">
      <c r="B33" s="23"/>
      <c r="C33" s="11"/>
      <c r="D33" s="11"/>
      <c r="E33" s="11"/>
      <c r="F33" s="11"/>
      <c r="G33" s="11"/>
      <c r="L33" s="37"/>
    </row>
    <row r="34" spans="2:12">
      <c r="B34" s="23" t="s">
        <v>48</v>
      </c>
      <c r="C34" s="11"/>
      <c r="D34" s="11"/>
      <c r="E34" s="11"/>
      <c r="F34" s="11"/>
      <c r="G34" s="11"/>
      <c r="L34" s="37"/>
    </row>
    <row r="35" spans="2:12">
      <c r="B35" s="23" t="s">
        <v>46</v>
      </c>
      <c r="C35" s="11">
        <v>-0.08</v>
      </c>
      <c r="D35" s="11">
        <v>0.05</v>
      </c>
      <c r="E35" s="11">
        <v>0.08</v>
      </c>
      <c r="F35" s="11">
        <v>7.0000000000000007E-2</v>
      </c>
      <c r="G35" s="11">
        <v>7.0000000000000007E-2</v>
      </c>
      <c r="H35" s="47">
        <v>4.4999999999999998E-2</v>
      </c>
      <c r="I35" s="47">
        <v>4.4999999999999998E-2</v>
      </c>
      <c r="J35" s="47">
        <v>0.04</v>
      </c>
      <c r="K35" s="47">
        <v>3.5000000000000003E-2</v>
      </c>
      <c r="L35" s="121">
        <v>0.03</v>
      </c>
    </row>
    <row r="36" spans="2:12">
      <c r="B36" s="23" t="s">
        <v>11</v>
      </c>
      <c r="C36" s="11">
        <v>0.45</v>
      </c>
      <c r="D36" s="11">
        <v>0.47</v>
      </c>
      <c r="E36" s="11">
        <v>0.48499999999999999</v>
      </c>
      <c r="F36" s="11">
        <v>0.495</v>
      </c>
      <c r="G36" s="11">
        <v>0.5</v>
      </c>
      <c r="H36" s="47">
        <v>0.505</v>
      </c>
      <c r="I36" s="47">
        <v>0.51</v>
      </c>
      <c r="J36" s="47">
        <v>0.51300000000000001</v>
      </c>
      <c r="K36" s="1">
        <v>0.51500000000000001</v>
      </c>
      <c r="L36" s="40">
        <v>0.51500000000000001</v>
      </c>
    </row>
    <row r="37" spans="2:12">
      <c r="B37" s="23" t="s">
        <v>47</v>
      </c>
      <c r="C37" s="11">
        <v>-0.05</v>
      </c>
      <c r="D37" s="11">
        <v>0.03</v>
      </c>
      <c r="E37" s="11">
        <v>0.05</v>
      </c>
      <c r="F37" s="11">
        <v>0.05</v>
      </c>
      <c r="G37" s="11">
        <v>0.05</v>
      </c>
      <c r="H37" s="47">
        <v>0.03</v>
      </c>
      <c r="I37" s="47">
        <v>3.2000000000000001E-2</v>
      </c>
      <c r="J37" s="47">
        <v>3.2000000000000001E-2</v>
      </c>
      <c r="K37" s="1">
        <v>0.03</v>
      </c>
      <c r="L37" s="40">
        <v>2.7999999999999997E-2</v>
      </c>
    </row>
    <row r="38" spans="2:12">
      <c r="B38" s="23"/>
      <c r="C38" s="11"/>
      <c r="D38" s="11"/>
      <c r="E38" s="11"/>
      <c r="F38" s="11"/>
      <c r="G38" s="11"/>
      <c r="L38" s="37"/>
    </row>
    <row r="39" spans="2:12">
      <c r="B39" s="23" t="s">
        <v>49</v>
      </c>
      <c r="C39" s="11"/>
      <c r="D39" s="11"/>
      <c r="E39" s="11"/>
      <c r="F39" s="11"/>
      <c r="G39" s="11"/>
      <c r="L39" s="37"/>
    </row>
    <row r="40" spans="2:12">
      <c r="B40" s="23" t="s">
        <v>46</v>
      </c>
      <c r="C40" s="11">
        <v>0.05</v>
      </c>
      <c r="D40" s="11">
        <v>0.05</v>
      </c>
      <c r="E40" s="11">
        <v>0.05</v>
      </c>
      <c r="F40" s="11">
        <v>4.4999999999999998E-2</v>
      </c>
      <c r="G40" s="11">
        <v>0.04</v>
      </c>
      <c r="H40" s="47">
        <v>0.04</v>
      </c>
      <c r="I40" s="47">
        <v>0.04</v>
      </c>
      <c r="J40" s="47">
        <v>3.5000000000000003E-2</v>
      </c>
      <c r="K40" s="1">
        <v>0.03</v>
      </c>
      <c r="L40" s="40">
        <v>2.5000000000000001E-2</v>
      </c>
    </row>
    <row r="41" spans="2:12">
      <c r="B41" s="23" t="s">
        <v>11</v>
      </c>
      <c r="C41" s="11">
        <v>0.42499999999999999</v>
      </c>
      <c r="D41" s="11">
        <v>0.435</v>
      </c>
      <c r="E41" s="11">
        <v>0.435</v>
      </c>
      <c r="F41" s="11">
        <v>0.44</v>
      </c>
      <c r="G41" s="11">
        <v>0.44500000000000001</v>
      </c>
      <c r="H41" s="47">
        <v>0.44799999999999995</v>
      </c>
      <c r="I41" s="47">
        <v>0.45</v>
      </c>
      <c r="J41" s="47">
        <v>0.45200000000000001</v>
      </c>
      <c r="K41" s="1">
        <v>0.45299999999999996</v>
      </c>
      <c r="L41" s="40">
        <v>0.45500000000000002</v>
      </c>
    </row>
    <row r="42" spans="2:12">
      <c r="B42" s="23" t="s">
        <v>47</v>
      </c>
      <c r="C42" s="11">
        <v>0.06</v>
      </c>
      <c r="D42" s="11">
        <v>0.05</v>
      </c>
      <c r="E42" s="11">
        <v>0.05</v>
      </c>
      <c r="F42" s="11">
        <v>0.05</v>
      </c>
      <c r="G42" s="11">
        <v>0.05</v>
      </c>
      <c r="H42" s="47">
        <v>3.5000000000000003E-2</v>
      </c>
      <c r="I42" s="47">
        <v>3.5000000000000003E-2</v>
      </c>
      <c r="J42" s="47">
        <v>3.3000000000000002E-2</v>
      </c>
      <c r="K42" s="1">
        <v>0.03</v>
      </c>
      <c r="L42" s="40">
        <v>2.7999999999999997E-2</v>
      </c>
    </row>
    <row r="43" spans="2:12">
      <c r="B43" s="23"/>
      <c r="L43" s="37"/>
    </row>
    <row r="44" spans="2:12">
      <c r="B44" s="23"/>
      <c r="L44" s="37"/>
    </row>
    <row r="45" spans="2:12">
      <c r="B45" s="23" t="s">
        <v>61</v>
      </c>
      <c r="C45" s="6">
        <v>0.02</v>
      </c>
      <c r="D45" s="1">
        <v>1.9E-2</v>
      </c>
      <c r="E45" s="47">
        <v>1.7999999999999999E-2</v>
      </c>
      <c r="F45" s="1">
        <v>1.7000000000000001E-2</v>
      </c>
      <c r="G45" s="1">
        <v>1.7000000000000001E-2</v>
      </c>
      <c r="H45" s="47">
        <v>1.6E-2</v>
      </c>
      <c r="I45" s="47">
        <v>1.4999999999999999E-2</v>
      </c>
      <c r="J45" s="47">
        <v>1.3999999999999999E-2</v>
      </c>
      <c r="K45" s="1">
        <v>1.2999999999999999E-2</v>
      </c>
      <c r="L45" s="40">
        <v>1.2E-2</v>
      </c>
    </row>
    <row r="46" spans="2:12">
      <c r="B46" s="23" t="s">
        <v>52</v>
      </c>
      <c r="C46" s="1">
        <v>0.25</v>
      </c>
      <c r="D46" s="1">
        <v>0.25</v>
      </c>
      <c r="E46" s="1">
        <v>0.25</v>
      </c>
      <c r="F46" s="1">
        <v>0.25</v>
      </c>
      <c r="G46" s="1">
        <v>0.25</v>
      </c>
      <c r="H46" s="1">
        <v>0.25</v>
      </c>
      <c r="I46" s="1">
        <v>0.25</v>
      </c>
      <c r="J46" s="1">
        <v>0.25</v>
      </c>
      <c r="K46" s="1">
        <v>0.25</v>
      </c>
      <c r="L46" s="40">
        <v>0.25</v>
      </c>
    </row>
    <row r="47" spans="2:12">
      <c r="B47" s="23" t="s">
        <v>62</v>
      </c>
      <c r="C47" s="1">
        <v>8.5000000000000006E-2</v>
      </c>
      <c r="D47" s="1">
        <v>8.3000000000000004E-2</v>
      </c>
      <c r="E47" s="6">
        <v>0.08</v>
      </c>
      <c r="F47" s="1">
        <v>7.8E-2</v>
      </c>
      <c r="G47" s="1">
        <v>7.4999999999999997E-2</v>
      </c>
      <c r="H47" s="1">
        <v>7.2999999999999995E-2</v>
      </c>
      <c r="I47" s="1">
        <v>7.0999999999999994E-2</v>
      </c>
      <c r="J47" s="1">
        <v>6.9000000000000006E-2</v>
      </c>
      <c r="K47" s="1">
        <v>6.7000000000000004E-2</v>
      </c>
      <c r="L47" s="40">
        <v>6.5000000000000002E-2</v>
      </c>
    </row>
    <row r="48" spans="2:12">
      <c r="B48" s="23" t="s">
        <v>63</v>
      </c>
      <c r="C48" s="9">
        <v>0.105</v>
      </c>
      <c r="D48" s="1">
        <v>0.1</v>
      </c>
      <c r="E48" s="9">
        <v>9.5000000000000001E-2</v>
      </c>
      <c r="F48" s="1">
        <v>0.09</v>
      </c>
      <c r="G48" s="6">
        <v>8.5000000000000006E-2</v>
      </c>
      <c r="H48" s="1">
        <v>8.8000000000000009E-2</v>
      </c>
      <c r="I48" s="1">
        <v>8.5999999999999993E-2</v>
      </c>
      <c r="J48" s="1">
        <v>8.4000000000000005E-2</v>
      </c>
      <c r="K48" s="1">
        <v>8.199999999999999E-2</v>
      </c>
      <c r="L48" s="40">
        <v>0.08</v>
      </c>
    </row>
    <row r="49" spans="1:12" ht="17" thickBot="1">
      <c r="B49" s="28" t="s">
        <v>64</v>
      </c>
      <c r="C49" s="65">
        <v>0.255</v>
      </c>
      <c r="D49" s="65">
        <v>0.25</v>
      </c>
      <c r="E49" s="65">
        <v>0.245</v>
      </c>
      <c r="F49" s="65">
        <v>0.24</v>
      </c>
      <c r="G49" s="65">
        <v>0.23499999999999999</v>
      </c>
      <c r="H49" s="65">
        <v>0.23499999999999999</v>
      </c>
      <c r="I49" s="65">
        <v>0.23300000000000001</v>
      </c>
      <c r="J49" s="65">
        <v>0.23</v>
      </c>
      <c r="K49" s="65">
        <v>0.22800000000000001</v>
      </c>
      <c r="L49" s="53">
        <v>0.22500000000000001</v>
      </c>
    </row>
    <row r="52" spans="1:12" s="62" customFormat="1"/>
    <row r="53" spans="1:12" ht="17" thickBot="1">
      <c r="A53" t="s">
        <v>92</v>
      </c>
    </row>
    <row r="54" spans="1:12">
      <c r="B54" s="43"/>
      <c r="C54" s="44" t="s">
        <v>39</v>
      </c>
      <c r="D54" s="44" t="s">
        <v>40</v>
      </c>
      <c r="E54" s="44" t="s">
        <v>41</v>
      </c>
      <c r="F54" s="44" t="s">
        <v>42</v>
      </c>
      <c r="G54" s="44" t="s">
        <v>43</v>
      </c>
      <c r="H54" s="44" t="s">
        <v>72</v>
      </c>
      <c r="I54" s="44" t="s">
        <v>135</v>
      </c>
      <c r="J54" s="44" t="s">
        <v>136</v>
      </c>
      <c r="K54" s="44" t="s">
        <v>137</v>
      </c>
      <c r="L54" s="45" t="s">
        <v>138</v>
      </c>
    </row>
    <row r="55" spans="1:12">
      <c r="B55" s="23" t="s">
        <v>45</v>
      </c>
      <c r="L55" s="37"/>
    </row>
    <row r="56" spans="1:12">
      <c r="B56" s="23" t="s">
        <v>46</v>
      </c>
      <c r="C56" s="11">
        <v>0.19</v>
      </c>
      <c r="D56" s="11">
        <v>0.09</v>
      </c>
      <c r="E56" s="11">
        <v>0.09</v>
      </c>
      <c r="F56" s="11">
        <v>8.5000000000000006E-2</v>
      </c>
      <c r="G56" s="11">
        <v>0.08</v>
      </c>
      <c r="H56" s="47">
        <v>6.5000000000000002E-2</v>
      </c>
      <c r="I56" s="47">
        <v>0.06</v>
      </c>
      <c r="J56" s="47">
        <v>5.5E-2</v>
      </c>
      <c r="K56" s="47">
        <v>0.05</v>
      </c>
      <c r="L56" s="121">
        <v>4.4999999999999998E-2</v>
      </c>
    </row>
    <row r="57" spans="1:12">
      <c r="B57" s="23" t="s">
        <v>11</v>
      </c>
      <c r="C57" s="11">
        <v>0.41</v>
      </c>
      <c r="D57" s="11">
        <v>0.41499999999999998</v>
      </c>
      <c r="E57" s="11">
        <v>0.41499999999999998</v>
      </c>
      <c r="F57" s="11">
        <v>0.41799999999999998</v>
      </c>
      <c r="G57" s="11">
        <v>0.41799999999999998</v>
      </c>
      <c r="H57" s="1">
        <v>0.41799999999999998</v>
      </c>
      <c r="I57" s="1">
        <v>0.41799999999999998</v>
      </c>
      <c r="J57" s="1">
        <v>0.41799999999999998</v>
      </c>
      <c r="K57" s="1">
        <v>0.41799999999999998</v>
      </c>
      <c r="L57" s="40">
        <v>0.41799999999999998</v>
      </c>
    </row>
    <row r="58" spans="1:12">
      <c r="B58" s="23" t="s">
        <v>47</v>
      </c>
      <c r="C58" s="11">
        <v>0.08</v>
      </c>
      <c r="D58" s="11">
        <v>0.03</v>
      </c>
      <c r="E58" s="11">
        <v>0.04</v>
      </c>
      <c r="F58" s="11">
        <v>0.04</v>
      </c>
      <c r="G58" s="11">
        <v>0.04</v>
      </c>
      <c r="H58" s="47">
        <v>6.5000000000000002E-2</v>
      </c>
      <c r="I58" s="47">
        <v>0.06</v>
      </c>
      <c r="J58" s="47">
        <v>5.5E-2</v>
      </c>
      <c r="K58" s="47">
        <v>0.05</v>
      </c>
      <c r="L58" s="121">
        <v>4.4999999999999998E-2</v>
      </c>
    </row>
    <row r="59" spans="1:12">
      <c r="B59" s="23"/>
      <c r="C59" s="11"/>
      <c r="D59" s="11"/>
      <c r="E59" s="11"/>
      <c r="F59" s="11"/>
      <c r="G59" s="11"/>
      <c r="L59" s="37"/>
    </row>
    <row r="60" spans="1:12">
      <c r="B60" s="23" t="s">
        <v>48</v>
      </c>
      <c r="C60" s="11"/>
      <c r="D60" s="11"/>
      <c r="E60" s="11"/>
      <c r="F60" s="11"/>
      <c r="G60" s="11"/>
      <c r="L60" s="37"/>
    </row>
    <row r="61" spans="1:12">
      <c r="B61" s="23" t="s">
        <v>46</v>
      </c>
      <c r="C61" s="11">
        <v>-0.03</v>
      </c>
      <c r="D61" s="11">
        <v>0.1</v>
      </c>
      <c r="E61" s="11">
        <v>0.12</v>
      </c>
      <c r="F61" s="11">
        <v>0.1</v>
      </c>
      <c r="G61" s="11">
        <v>8.5000000000000006E-2</v>
      </c>
      <c r="H61" s="47">
        <v>6.5000000000000002E-2</v>
      </c>
      <c r="I61" s="47">
        <v>0.06</v>
      </c>
      <c r="J61" s="47">
        <v>5.5E-2</v>
      </c>
      <c r="K61" s="47">
        <v>0.05</v>
      </c>
      <c r="L61" s="121">
        <v>0.04</v>
      </c>
    </row>
    <row r="62" spans="1:12">
      <c r="B62" s="23" t="s">
        <v>11</v>
      </c>
      <c r="C62" s="11">
        <v>0.48</v>
      </c>
      <c r="D62" s="11">
        <v>0.5</v>
      </c>
      <c r="E62" s="11">
        <v>0.51500000000000001</v>
      </c>
      <c r="F62" s="11">
        <v>0.52500000000000002</v>
      </c>
      <c r="G62" s="11">
        <v>0.53</v>
      </c>
      <c r="H62" s="6">
        <v>0.53</v>
      </c>
      <c r="I62" s="6">
        <v>0.53</v>
      </c>
      <c r="J62" s="6">
        <v>0.53</v>
      </c>
      <c r="K62" s="6">
        <v>0.53</v>
      </c>
      <c r="L62" s="51">
        <v>0.53</v>
      </c>
    </row>
    <row r="63" spans="1:12">
      <c r="B63" s="23" t="s">
        <v>47</v>
      </c>
      <c r="C63" s="11">
        <v>-7.0000000000000007E-2</v>
      </c>
      <c r="D63" s="11">
        <v>0.01</v>
      </c>
      <c r="E63" s="11">
        <v>0.03</v>
      </c>
      <c r="F63" s="11">
        <v>0.04</v>
      </c>
      <c r="G63" s="11">
        <v>0.04</v>
      </c>
      <c r="H63" s="47">
        <v>6.5000000000000002E-2</v>
      </c>
      <c r="I63" s="47">
        <v>0.06</v>
      </c>
      <c r="J63" s="47">
        <v>5.5E-2</v>
      </c>
      <c r="K63" s="47">
        <v>0.05</v>
      </c>
      <c r="L63" s="121">
        <v>0.04</v>
      </c>
    </row>
    <row r="64" spans="1:12">
      <c r="B64" s="23"/>
      <c r="C64" s="11"/>
      <c r="D64" s="11"/>
      <c r="E64" s="11"/>
      <c r="F64" s="11"/>
      <c r="G64" s="11"/>
      <c r="L64" s="37"/>
    </row>
    <row r="65" spans="2:12">
      <c r="B65" s="23" t="s">
        <v>49</v>
      </c>
      <c r="C65" s="11"/>
      <c r="D65" s="11"/>
      <c r="E65" s="11"/>
      <c r="F65" s="11"/>
      <c r="G65" s="11"/>
      <c r="L65" s="37"/>
    </row>
    <row r="66" spans="2:12">
      <c r="B66" s="23" t="s">
        <v>46</v>
      </c>
      <c r="C66" s="11">
        <v>7.4999999999999997E-2</v>
      </c>
      <c r="D66" s="11">
        <v>0.08</v>
      </c>
      <c r="E66" s="11">
        <v>0.08</v>
      </c>
      <c r="F66" s="11">
        <v>0.08</v>
      </c>
      <c r="G66" s="11">
        <v>0.08</v>
      </c>
      <c r="H66" s="47">
        <v>0.06</v>
      </c>
      <c r="I66" s="47">
        <v>5.5E-2</v>
      </c>
      <c r="J66" s="47">
        <v>0.05</v>
      </c>
      <c r="K66" s="47">
        <v>4.4999999999999998E-2</v>
      </c>
      <c r="L66" s="121">
        <v>0.04</v>
      </c>
    </row>
    <row r="67" spans="2:12">
      <c r="B67" s="23" t="s">
        <v>11</v>
      </c>
      <c r="C67" s="11">
        <v>0.44</v>
      </c>
      <c r="D67" s="11">
        <v>0.46</v>
      </c>
      <c r="E67" s="11">
        <v>0.46</v>
      </c>
      <c r="F67" s="11">
        <v>0.46500000000000002</v>
      </c>
      <c r="G67" s="11">
        <v>0.46500000000000002</v>
      </c>
      <c r="H67" s="11">
        <v>0.46500000000000002</v>
      </c>
      <c r="I67" s="11">
        <v>0.46500000000000002</v>
      </c>
      <c r="J67" s="11">
        <v>0.46500000000000002</v>
      </c>
      <c r="K67" s="11">
        <v>0.46500000000000002</v>
      </c>
      <c r="L67" s="46">
        <v>0.46500000000000002</v>
      </c>
    </row>
    <row r="68" spans="2:12">
      <c r="B68" s="23" t="s">
        <v>47</v>
      </c>
      <c r="C68" s="11">
        <v>0.04</v>
      </c>
      <c r="D68" s="11">
        <v>0.03</v>
      </c>
      <c r="E68" s="11">
        <v>0.03</v>
      </c>
      <c r="F68" s="11">
        <v>0.03</v>
      </c>
      <c r="G68" s="11">
        <v>0.03</v>
      </c>
      <c r="H68" s="47">
        <v>0.06</v>
      </c>
      <c r="I68" s="47">
        <v>5.5E-2</v>
      </c>
      <c r="J68" s="47">
        <v>0.05</v>
      </c>
      <c r="K68" s="47">
        <v>4.4999999999999998E-2</v>
      </c>
      <c r="L68" s="121">
        <v>0.04</v>
      </c>
    </row>
    <row r="69" spans="2:12">
      <c r="B69" s="23"/>
      <c r="L69" s="37"/>
    </row>
    <row r="70" spans="2:12">
      <c r="B70" s="23"/>
      <c r="L70" s="37"/>
    </row>
    <row r="71" spans="2:12">
      <c r="B71" s="23" t="s">
        <v>61</v>
      </c>
      <c r="C71" s="6">
        <v>0.02</v>
      </c>
      <c r="D71" s="1">
        <v>1.9E-2</v>
      </c>
      <c r="E71" s="47">
        <v>1.7999999999999999E-2</v>
      </c>
      <c r="F71" s="1">
        <v>1.7000000000000001E-2</v>
      </c>
      <c r="G71" s="1">
        <v>1.7000000000000001E-2</v>
      </c>
      <c r="H71" s="47">
        <v>1.6E-2</v>
      </c>
      <c r="I71" s="47">
        <v>1.4999999999999999E-2</v>
      </c>
      <c r="J71" s="47">
        <v>1.3999999999999999E-2</v>
      </c>
      <c r="K71" s="47">
        <v>1.3000000000000001E-2</v>
      </c>
      <c r="L71" s="121">
        <v>1.2E-2</v>
      </c>
    </row>
    <row r="72" spans="2:12">
      <c r="B72" s="23" t="s">
        <v>52</v>
      </c>
      <c r="C72" s="1">
        <v>0.24</v>
      </c>
      <c r="D72" s="1">
        <v>0.24</v>
      </c>
      <c r="E72" s="1">
        <v>0.24</v>
      </c>
      <c r="F72" s="1">
        <v>0.24</v>
      </c>
      <c r="G72" s="1">
        <v>0.24</v>
      </c>
      <c r="H72" s="1">
        <v>0.24</v>
      </c>
      <c r="I72" s="1">
        <v>0.24</v>
      </c>
      <c r="J72" s="1">
        <v>0.24</v>
      </c>
      <c r="K72" s="1">
        <v>0.24</v>
      </c>
      <c r="L72" s="40">
        <v>0.24</v>
      </c>
    </row>
    <row r="73" spans="2:12">
      <c r="B73" s="23" t="s">
        <v>62</v>
      </c>
      <c r="C73" s="1">
        <v>8.5000000000000006E-2</v>
      </c>
      <c r="D73" s="1">
        <v>8.3000000000000004E-2</v>
      </c>
      <c r="E73" s="6">
        <v>0.08</v>
      </c>
      <c r="F73" s="1">
        <v>7.8E-2</v>
      </c>
      <c r="G73" s="1">
        <v>7.4999999999999997E-2</v>
      </c>
      <c r="H73" s="1">
        <v>7.2999999999999995E-2</v>
      </c>
      <c r="I73" s="1">
        <v>7.0999999999999994E-2</v>
      </c>
      <c r="J73" s="1">
        <v>6.9000000000000006E-2</v>
      </c>
      <c r="K73" s="1">
        <v>6.7000000000000004E-2</v>
      </c>
      <c r="L73" s="40">
        <v>6.5000000000000002E-2</v>
      </c>
    </row>
    <row r="74" spans="2:12">
      <c r="B74" s="23" t="s">
        <v>63</v>
      </c>
      <c r="C74" s="9">
        <v>9.5000000000000001E-2</v>
      </c>
      <c r="D74" s="1">
        <v>8.5000000000000006E-2</v>
      </c>
      <c r="E74" s="6">
        <v>0.08</v>
      </c>
      <c r="F74" s="1">
        <v>7.4999999999999997E-2</v>
      </c>
      <c r="G74" s="6">
        <v>7.0000000000000007E-2</v>
      </c>
      <c r="H74" s="1">
        <v>7.0000000000000007E-2</v>
      </c>
      <c r="I74" s="1">
        <v>7.0000000000000007E-2</v>
      </c>
      <c r="J74" s="1">
        <v>6.9000000000000006E-2</v>
      </c>
      <c r="K74" s="1">
        <v>6.8000000000000005E-2</v>
      </c>
      <c r="L74" s="40">
        <v>6.8000000000000005E-2</v>
      </c>
    </row>
    <row r="75" spans="2:12" ht="17" thickBot="1">
      <c r="B75" s="28" t="s">
        <v>64</v>
      </c>
      <c r="C75" s="64">
        <v>0.24</v>
      </c>
      <c r="D75" s="64">
        <v>0.22500000000000001</v>
      </c>
      <c r="E75" s="64">
        <v>0.21</v>
      </c>
      <c r="F75" s="64">
        <v>0.20499999999999999</v>
      </c>
      <c r="G75" s="65">
        <v>0.2</v>
      </c>
      <c r="H75" s="64">
        <v>0.2</v>
      </c>
      <c r="I75" s="64">
        <v>0.19800000000000001</v>
      </c>
      <c r="J75" s="64">
        <v>0.19699999999999998</v>
      </c>
      <c r="K75" s="64">
        <v>0.19600000000000001</v>
      </c>
      <c r="L75" s="122">
        <v>0.19500000000000001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F6C3-93A2-9842-BBB0-E112F41E51F5}">
  <dimension ref="B2:O64"/>
  <sheetViews>
    <sheetView zoomScaleNormal="70" workbookViewId="0">
      <selection activeCell="B2" sqref="B2"/>
    </sheetView>
  </sheetViews>
  <sheetFormatPr baseColWidth="10" defaultRowHeight="16"/>
  <cols>
    <col min="2" max="2" width="32.83203125" bestFit="1" customWidth="1"/>
    <col min="3" max="3" width="13.5" customWidth="1"/>
    <col min="4" max="4" width="14.1640625" customWidth="1"/>
  </cols>
  <sheetData>
    <row r="2" spans="2:15" ht="19">
      <c r="B2" s="231" t="s">
        <v>248</v>
      </c>
    </row>
    <row r="3" spans="2:15" ht="17" thickBot="1"/>
    <row r="4" spans="2:15">
      <c r="B4" s="20" t="s">
        <v>28</v>
      </c>
      <c r="C4" s="21">
        <v>2023</v>
      </c>
      <c r="D4" s="21">
        <v>2024</v>
      </c>
      <c r="E4" s="21">
        <v>2025</v>
      </c>
      <c r="F4" s="22" t="s">
        <v>39</v>
      </c>
      <c r="G4" s="22" t="s">
        <v>40</v>
      </c>
      <c r="H4" s="22" t="s">
        <v>41</v>
      </c>
      <c r="I4" s="22" t="s">
        <v>42</v>
      </c>
      <c r="J4" s="22" t="s">
        <v>43</v>
      </c>
      <c r="K4" s="22" t="s">
        <v>72</v>
      </c>
      <c r="L4" s="22" t="s">
        <v>135</v>
      </c>
      <c r="M4" s="22" t="s">
        <v>136</v>
      </c>
      <c r="N4" s="22" t="s">
        <v>137</v>
      </c>
      <c r="O4" s="118" t="s">
        <v>138</v>
      </c>
    </row>
    <row r="5" spans="2:15">
      <c r="B5" s="23" t="s">
        <v>27</v>
      </c>
      <c r="C5" s="15">
        <v>697.4</v>
      </c>
      <c r="D5" s="15">
        <v>773.1</v>
      </c>
      <c r="E5" s="15">
        <v>740.5</v>
      </c>
      <c r="F5" s="17">
        <f>E5*(1+Antagelser!C4)</f>
        <v>873.79</v>
      </c>
      <c r="G5" s="17">
        <f>F5*(1+Antagelser!D4)</f>
        <v>943.69320000000005</v>
      </c>
      <c r="H5" s="17">
        <f>G5*(1+Antagelser!E4)</f>
        <v>1009.7517240000001</v>
      </c>
      <c r="I5" s="17">
        <f>H5*(1+Antagelser!F4)</f>
        <v>1070.3368274400002</v>
      </c>
      <c r="J5" s="17">
        <f>I5*(1+Antagelser!G4)</f>
        <v>1134.5570370864002</v>
      </c>
      <c r="K5" s="17">
        <f>J5*(1+Antagelser!H4)</f>
        <v>1196.9576741261521</v>
      </c>
      <c r="L5" s="17">
        <f>K5*(1+Antagelser!I4)</f>
        <v>1256.8055578324597</v>
      </c>
      <c r="M5" s="17">
        <f>L5*(1+Antagelser!J4)</f>
        <v>1313.3618079349203</v>
      </c>
      <c r="N5" s="17">
        <f>M5*(1+Antagelser!K4)</f>
        <v>1365.8962802523172</v>
      </c>
      <c r="O5" s="24">
        <f>N5*(1+Antagelser!L4)</f>
        <v>1413.7026500611482</v>
      </c>
    </row>
    <row r="6" spans="2:15">
      <c r="B6" s="23" t="s">
        <v>29</v>
      </c>
      <c r="C6" s="12"/>
      <c r="D6" s="12">
        <f>(D5-C5)/C5</f>
        <v>0.10854602810438779</v>
      </c>
      <c r="E6" s="12">
        <f t="shared" ref="E6:O6" si="0">(E5-D5)/D5</f>
        <v>-4.2167895485706923E-2</v>
      </c>
      <c r="F6" s="12">
        <f t="shared" si="0"/>
        <v>0.17999999999999994</v>
      </c>
      <c r="G6" s="12">
        <f t="shared" si="0"/>
        <v>8.0000000000000099E-2</v>
      </c>
      <c r="H6" s="12">
        <f t="shared" si="0"/>
        <v>7.0000000000000034E-2</v>
      </c>
      <c r="I6" s="12">
        <f t="shared" si="0"/>
        <v>6.0000000000000123E-2</v>
      </c>
      <c r="J6" s="12">
        <f t="shared" si="0"/>
        <v>0.06</v>
      </c>
      <c r="K6" s="12">
        <f t="shared" si="0"/>
        <v>5.4999999999999924E-2</v>
      </c>
      <c r="L6" s="12">
        <f t="shared" si="0"/>
        <v>4.9999999999999982E-2</v>
      </c>
      <c r="M6" s="12">
        <f t="shared" si="0"/>
        <v>4.4999999999999915E-2</v>
      </c>
      <c r="N6" s="12">
        <f t="shared" si="0"/>
        <v>4.0000000000000049E-2</v>
      </c>
      <c r="O6" s="119">
        <f t="shared" si="0"/>
        <v>3.4999999999999962E-2</v>
      </c>
    </row>
    <row r="7" spans="2:15">
      <c r="B7" s="23" t="s">
        <v>11</v>
      </c>
      <c r="C7" s="12">
        <v>0.39900000000000002</v>
      </c>
      <c r="D7" s="12">
        <v>0.40600000000000003</v>
      </c>
      <c r="E7" s="12">
        <v>0.41699999999999998</v>
      </c>
      <c r="F7" s="14">
        <f>Antagelser!C5</f>
        <v>0.4</v>
      </c>
      <c r="G7" s="14">
        <f>Antagelser!D5</f>
        <v>0.40500000000000003</v>
      </c>
      <c r="H7" s="14">
        <f>Antagelser!E5</f>
        <v>0.40500000000000003</v>
      </c>
      <c r="I7" s="14">
        <f>Antagelser!F5</f>
        <v>0.40500000000000003</v>
      </c>
      <c r="J7" s="14">
        <f>Antagelser!G5</f>
        <v>0.40500000000000003</v>
      </c>
      <c r="K7" s="14">
        <f>Antagelser!H5</f>
        <v>0.40500000000000003</v>
      </c>
      <c r="L7" s="14">
        <f>Antagelser!I5</f>
        <v>0.40500000000000003</v>
      </c>
      <c r="M7" s="14">
        <f>Antagelser!J5</f>
        <v>0.40500000000000003</v>
      </c>
      <c r="N7" s="14">
        <f>Antagelser!K5</f>
        <v>0.40500000000000003</v>
      </c>
      <c r="O7" s="25">
        <f>Antagelser!L5</f>
        <v>0.40500000000000003</v>
      </c>
    </row>
    <row r="8" spans="2:15">
      <c r="B8" s="23" t="s">
        <v>30</v>
      </c>
      <c r="C8" s="15">
        <f>C5*C7</f>
        <v>278.26260000000002</v>
      </c>
      <c r="D8" s="15">
        <f t="shared" ref="D8:O8" si="1">D5*D7</f>
        <v>313.87860000000001</v>
      </c>
      <c r="E8" s="15">
        <f t="shared" si="1"/>
        <v>308.7885</v>
      </c>
      <c r="F8" s="15">
        <f t="shared" si="1"/>
        <v>349.51600000000002</v>
      </c>
      <c r="G8" s="15">
        <f t="shared" si="1"/>
        <v>382.19574600000004</v>
      </c>
      <c r="H8" s="15">
        <f t="shared" si="1"/>
        <v>408.94944822000008</v>
      </c>
      <c r="I8" s="15">
        <f t="shared" si="1"/>
        <v>433.48641511320011</v>
      </c>
      <c r="J8" s="15">
        <f t="shared" si="1"/>
        <v>459.49560001999214</v>
      </c>
      <c r="K8" s="15">
        <f t="shared" si="1"/>
        <v>484.76785802109163</v>
      </c>
      <c r="L8" s="15">
        <f t="shared" si="1"/>
        <v>509.00625092214625</v>
      </c>
      <c r="M8" s="15">
        <f t="shared" si="1"/>
        <v>531.91153221364277</v>
      </c>
      <c r="N8" s="15">
        <f t="shared" si="1"/>
        <v>553.18799350218853</v>
      </c>
      <c r="O8" s="26">
        <f t="shared" si="1"/>
        <v>572.54957327476507</v>
      </c>
    </row>
    <row r="9" spans="2:15">
      <c r="B9" s="23" t="s">
        <v>31</v>
      </c>
      <c r="C9" s="15">
        <v>162.9</v>
      </c>
      <c r="D9" s="15">
        <v>183.2</v>
      </c>
      <c r="E9" s="15">
        <v>182.4</v>
      </c>
      <c r="F9" s="17">
        <f>E9*(1+Antagelser!C6)</f>
        <v>198.81600000000003</v>
      </c>
      <c r="G9" s="17">
        <f>F9*(1+Antagelser!D6)</f>
        <v>206.76864000000003</v>
      </c>
      <c r="H9" s="17">
        <f>G9*(1+Antagelser!E6)</f>
        <v>217.10707200000004</v>
      </c>
      <c r="I9" s="17">
        <f>H9*(1+Antagelser!F6)</f>
        <v>227.96242560000005</v>
      </c>
      <c r="J9" s="17">
        <f>I9*(1+Antagelser!G6)</f>
        <v>239.36054688000007</v>
      </c>
      <c r="K9" s="17">
        <f>J9*(1+Antagelser!H6)</f>
        <v>251.32857422400008</v>
      </c>
      <c r="L9" s="17">
        <f>K9*(1+Antagelser!I6)</f>
        <v>263.89500293520007</v>
      </c>
      <c r="M9" s="17">
        <f>L9*(1+Antagelser!J6)</f>
        <v>275.77027806728404</v>
      </c>
      <c r="N9" s="17">
        <f>M9*(1+Antagelser!K6)</f>
        <v>288.17994058031178</v>
      </c>
      <c r="O9" s="24">
        <f>N9*(1+Antagelser!L6)</f>
        <v>299.70713820352427</v>
      </c>
    </row>
    <row r="10" spans="2:15">
      <c r="B10" s="23" t="s">
        <v>32</v>
      </c>
      <c r="C10" s="15">
        <f>C8-C9</f>
        <v>115.36260000000001</v>
      </c>
      <c r="D10" s="15">
        <f t="shared" ref="D10:O10" si="2">D8-D9</f>
        <v>130.67860000000002</v>
      </c>
      <c r="E10" s="15">
        <f t="shared" si="2"/>
        <v>126.38849999999999</v>
      </c>
      <c r="F10" s="15">
        <f t="shared" si="2"/>
        <v>150.69999999999999</v>
      </c>
      <c r="G10" s="15">
        <f t="shared" si="2"/>
        <v>175.42710600000001</v>
      </c>
      <c r="H10" s="15">
        <f t="shared" si="2"/>
        <v>191.84237622000003</v>
      </c>
      <c r="I10" s="15">
        <f t="shared" si="2"/>
        <v>205.52398951320006</v>
      </c>
      <c r="J10" s="15">
        <f t="shared" si="2"/>
        <v>220.13505313999207</v>
      </c>
      <c r="K10" s="15">
        <f t="shared" si="2"/>
        <v>233.43928379709155</v>
      </c>
      <c r="L10" s="15">
        <f t="shared" si="2"/>
        <v>245.11124798694618</v>
      </c>
      <c r="M10" s="15">
        <f t="shared" si="2"/>
        <v>256.14125414635873</v>
      </c>
      <c r="N10" s="15">
        <f t="shared" si="2"/>
        <v>265.00805292187675</v>
      </c>
      <c r="O10" s="26">
        <f t="shared" si="2"/>
        <v>272.8424350712408</v>
      </c>
    </row>
    <row r="11" spans="2:15">
      <c r="B11" s="23" t="s">
        <v>33</v>
      </c>
      <c r="C11" s="12">
        <f>C10/C5</f>
        <v>0.16541812446228851</v>
      </c>
      <c r="D11" s="12">
        <f t="shared" ref="D11:O11" si="3">D10/D5</f>
        <v>0.16903194929504595</v>
      </c>
      <c r="E11" s="12">
        <f t="shared" si="3"/>
        <v>0.17067994598244429</v>
      </c>
      <c r="F11" s="12">
        <f t="shared" si="3"/>
        <v>0.17246706874649514</v>
      </c>
      <c r="G11" s="12">
        <f t="shared" si="3"/>
        <v>0.18589421434847681</v>
      </c>
      <c r="H11" s="12">
        <f t="shared" si="3"/>
        <v>0.1899896495942997</v>
      </c>
      <c r="I11" s="12">
        <f t="shared" si="3"/>
        <v>0.19201804912642895</v>
      </c>
      <c r="J11" s="12">
        <f t="shared" si="3"/>
        <v>0.19402731281391547</v>
      </c>
      <c r="K11" s="12">
        <f t="shared" si="3"/>
        <v>0.19502718336929969</v>
      </c>
      <c r="L11" s="12">
        <f t="shared" si="3"/>
        <v>0.19502718336929975</v>
      </c>
      <c r="M11" s="12">
        <f t="shared" si="3"/>
        <v>0.19502718336929975</v>
      </c>
      <c r="N11" s="12">
        <f t="shared" si="3"/>
        <v>0.1940176986739599</v>
      </c>
      <c r="O11" s="119">
        <f t="shared" si="3"/>
        <v>0.19299846050330266</v>
      </c>
    </row>
    <row r="12" spans="2:15">
      <c r="B12" s="23"/>
      <c r="C12" s="15"/>
      <c r="D12" s="15"/>
      <c r="E12" s="15"/>
      <c r="F12" s="17"/>
      <c r="G12" s="17"/>
      <c r="H12" s="17"/>
      <c r="I12" s="17"/>
      <c r="J12" s="17"/>
      <c r="O12" s="37"/>
    </row>
    <row r="13" spans="2:15">
      <c r="B13" s="27" t="s">
        <v>34</v>
      </c>
      <c r="C13" s="18"/>
      <c r="D13" s="15"/>
      <c r="E13" s="15"/>
      <c r="F13" s="17"/>
      <c r="G13" s="17"/>
      <c r="H13" s="17"/>
      <c r="I13" s="17"/>
      <c r="J13" s="17"/>
      <c r="O13" s="37"/>
    </row>
    <row r="14" spans="2:15">
      <c r="B14" s="23" t="s">
        <v>27</v>
      </c>
      <c r="C14" s="15">
        <v>270.10000000000002</v>
      </c>
      <c r="D14" s="15">
        <v>265.8</v>
      </c>
      <c r="E14" s="15">
        <v>218.2</v>
      </c>
      <c r="F14" s="17">
        <f>E14*(1+Antagelser!C9)</f>
        <v>207.29</v>
      </c>
      <c r="G14" s="17">
        <f>F14*(1+Antagelser!D9)</f>
        <v>223.8732</v>
      </c>
      <c r="H14" s="17">
        <f>G14*(1+Antagelser!E9)</f>
        <v>246.26052000000001</v>
      </c>
      <c r="I14" s="17">
        <f>H14*(1+Antagelser!F9)</f>
        <v>265.96136160000003</v>
      </c>
      <c r="J14" s="17">
        <f>I14*(1+Antagelser!G9)</f>
        <v>284.57865691200004</v>
      </c>
      <c r="K14" s="17">
        <f>J14*(1+Antagelser!H9)</f>
        <v>300.23048304216002</v>
      </c>
      <c r="L14" s="17">
        <f>K14*(1+Antagelser!I9)</f>
        <v>315.24200719426801</v>
      </c>
      <c r="M14" s="17">
        <f>L14*(1+Antagelser!J9)</f>
        <v>329.42789751801007</v>
      </c>
      <c r="N14" s="17">
        <f>M14*(1+Antagelser!K9)</f>
        <v>340.9578739311404</v>
      </c>
      <c r="O14" s="24">
        <f>N14*(1+Antagelser!L9)</f>
        <v>351.18661014907462</v>
      </c>
    </row>
    <row r="15" spans="2:15">
      <c r="B15" s="23" t="s">
        <v>29</v>
      </c>
      <c r="C15" s="12"/>
      <c r="D15" s="12">
        <f>(D14-C14)/C14</f>
        <v>-1.5920029618659796E-2</v>
      </c>
      <c r="E15" s="12">
        <f t="shared" ref="E15:O15" si="4">(E14-D14)/D14</f>
        <v>-0.17908201655379993</v>
      </c>
      <c r="F15" s="12">
        <f t="shared" si="4"/>
        <v>-4.9999999999999989E-2</v>
      </c>
      <c r="G15" s="12">
        <f t="shared" si="4"/>
        <v>8.0000000000000029E-2</v>
      </c>
      <c r="H15" s="12">
        <f t="shared" si="4"/>
        <v>0.10000000000000007</v>
      </c>
      <c r="I15" s="12">
        <f t="shared" si="4"/>
        <v>8.0000000000000071E-2</v>
      </c>
      <c r="J15" s="12">
        <f t="shared" si="4"/>
        <v>7.0000000000000034E-2</v>
      </c>
      <c r="K15" s="12">
        <f t="shared" si="4"/>
        <v>5.4999999999999903E-2</v>
      </c>
      <c r="L15" s="12">
        <f t="shared" si="4"/>
        <v>4.9999999999999982E-2</v>
      </c>
      <c r="M15" s="12">
        <f t="shared" si="4"/>
        <v>4.4999999999999991E-2</v>
      </c>
      <c r="N15" s="12">
        <f t="shared" si="4"/>
        <v>3.4999999999999927E-2</v>
      </c>
      <c r="O15" s="119">
        <f t="shared" si="4"/>
        <v>3.0000000000000044E-2</v>
      </c>
    </row>
    <row r="16" spans="2:15">
      <c r="B16" s="23" t="s">
        <v>11</v>
      </c>
      <c r="C16" s="12">
        <v>0.52200000000000002</v>
      </c>
      <c r="D16" s="12">
        <v>0.52500000000000002</v>
      </c>
      <c r="E16" s="12">
        <v>0.47699999999999998</v>
      </c>
      <c r="F16" s="14">
        <f>Antagelser!C10</f>
        <v>0.47</v>
      </c>
      <c r="G16" s="14">
        <f>Antagelser!D10</f>
        <v>0.49</v>
      </c>
      <c r="H16" s="14">
        <f>Antagelser!E10</f>
        <v>0.505</v>
      </c>
      <c r="I16" s="14">
        <f>Antagelser!F10</f>
        <v>0.51500000000000001</v>
      </c>
      <c r="J16" s="14">
        <f>Antagelser!G10</f>
        <v>0.52</v>
      </c>
      <c r="K16" s="14">
        <f>Antagelser!H10</f>
        <v>0.52</v>
      </c>
      <c r="L16" s="14">
        <f>Antagelser!I10</f>
        <v>0.52</v>
      </c>
      <c r="M16" s="14">
        <f>Antagelser!J10</f>
        <v>0.52</v>
      </c>
      <c r="N16" s="14">
        <f>Antagelser!K10</f>
        <v>0.52</v>
      </c>
      <c r="O16" s="25">
        <f>Antagelser!L10</f>
        <v>0.52</v>
      </c>
    </row>
    <row r="17" spans="2:15">
      <c r="B17" s="23" t="s">
        <v>30</v>
      </c>
      <c r="C17" s="15">
        <f>C16*C14</f>
        <v>140.99220000000003</v>
      </c>
      <c r="D17" s="15">
        <f t="shared" ref="D17:O17" si="5">D16*D14</f>
        <v>139.54500000000002</v>
      </c>
      <c r="E17" s="15">
        <f t="shared" si="5"/>
        <v>104.08139999999999</v>
      </c>
      <c r="F17" s="15">
        <f t="shared" si="5"/>
        <v>97.426299999999998</v>
      </c>
      <c r="G17" s="15">
        <f t="shared" si="5"/>
        <v>109.697868</v>
      </c>
      <c r="H17" s="15">
        <f t="shared" si="5"/>
        <v>124.36156260000001</v>
      </c>
      <c r="I17" s="15">
        <f t="shared" si="5"/>
        <v>136.97010122400002</v>
      </c>
      <c r="J17" s="15">
        <f t="shared" si="5"/>
        <v>147.98090159424004</v>
      </c>
      <c r="K17" s="15">
        <f t="shared" si="5"/>
        <v>156.11985118192322</v>
      </c>
      <c r="L17" s="15">
        <f t="shared" si="5"/>
        <v>163.92584374101938</v>
      </c>
      <c r="M17" s="15">
        <f t="shared" si="5"/>
        <v>171.30250670936525</v>
      </c>
      <c r="N17" s="15">
        <f t="shared" si="5"/>
        <v>177.29809444419303</v>
      </c>
      <c r="O17" s="26">
        <f t="shared" si="5"/>
        <v>182.61703727751882</v>
      </c>
    </row>
    <row r="18" spans="2:15">
      <c r="B18" s="23" t="s">
        <v>31</v>
      </c>
      <c r="C18" s="15">
        <v>79.5</v>
      </c>
      <c r="D18" s="15">
        <v>79.400000000000006</v>
      </c>
      <c r="E18" s="15">
        <v>80.599999999999994</v>
      </c>
      <c r="F18" s="17">
        <f>E18*(1+Antagelser!C11)</f>
        <v>75.763999999999996</v>
      </c>
      <c r="G18" s="17">
        <f>F18*(1+Antagelser!D11)</f>
        <v>77.27928</v>
      </c>
      <c r="H18" s="17">
        <f>G18*(1+Antagelser!E11)</f>
        <v>80.370451200000005</v>
      </c>
      <c r="I18" s="17">
        <f>H18*(1+Antagelser!F11)</f>
        <v>83.585269248000003</v>
      </c>
      <c r="J18" s="17">
        <f>I18*(1+Antagelser!G11)</f>
        <v>86.928680017920001</v>
      </c>
      <c r="K18" s="17">
        <f>J18*(1+Antagelser!H11)</f>
        <v>90.405827218636801</v>
      </c>
      <c r="L18" s="17">
        <f>K18*(1+Antagelser!I11)</f>
        <v>94.022060307382276</v>
      </c>
      <c r="M18" s="17">
        <f>L18*(1+Antagelser!J11)</f>
        <v>97.782942719677564</v>
      </c>
      <c r="N18" s="17">
        <f>M18*(1+Antagelser!K11)</f>
        <v>101.20534571486627</v>
      </c>
      <c r="O18" s="24">
        <f>N18*(1+Antagelser!L11)</f>
        <v>104.24150608631226</v>
      </c>
    </row>
    <row r="19" spans="2:15">
      <c r="B19" s="23" t="s">
        <v>32</v>
      </c>
      <c r="C19" s="17">
        <f>C17-C18</f>
        <v>61.492200000000025</v>
      </c>
      <c r="D19" s="17">
        <f t="shared" ref="D19:O19" si="6">D17-D18</f>
        <v>60.14500000000001</v>
      </c>
      <c r="E19" s="17">
        <f t="shared" si="6"/>
        <v>23.481399999999994</v>
      </c>
      <c r="F19" s="17">
        <f t="shared" si="6"/>
        <v>21.662300000000002</v>
      </c>
      <c r="G19" s="17">
        <f t="shared" si="6"/>
        <v>32.418588</v>
      </c>
      <c r="H19" s="17">
        <f t="shared" si="6"/>
        <v>43.991111400000008</v>
      </c>
      <c r="I19" s="17">
        <f t="shared" si="6"/>
        <v>53.384831976000015</v>
      </c>
      <c r="J19" s="17">
        <f t="shared" si="6"/>
        <v>61.052221576320036</v>
      </c>
      <c r="K19" s="17">
        <f t="shared" si="6"/>
        <v>65.714023963286422</v>
      </c>
      <c r="L19" s="17">
        <f t="shared" si="6"/>
        <v>69.903783433637102</v>
      </c>
      <c r="M19" s="17">
        <f t="shared" si="6"/>
        <v>73.519563989687683</v>
      </c>
      <c r="N19" s="17">
        <f t="shared" si="6"/>
        <v>76.092748729326757</v>
      </c>
      <c r="O19" s="24">
        <f t="shared" si="6"/>
        <v>78.375531191206562</v>
      </c>
    </row>
    <row r="20" spans="2:15">
      <c r="B20" s="23" t="s">
        <v>33</v>
      </c>
      <c r="C20" s="12">
        <f>C19/C14</f>
        <v>0.22766456867826737</v>
      </c>
      <c r="D20" s="12">
        <f t="shared" ref="D20:O20" si="7">D19/D14</f>
        <v>0.2262791572610986</v>
      </c>
      <c r="E20" s="12">
        <f t="shared" si="7"/>
        <v>0.10761411549037578</v>
      </c>
      <c r="F20" s="12">
        <f t="shared" si="7"/>
        <v>0.10450238795889817</v>
      </c>
      <c r="G20" s="12">
        <f t="shared" si="7"/>
        <v>0.1448078108500705</v>
      </c>
      <c r="H20" s="12">
        <f t="shared" si="7"/>
        <v>0.17863647571279395</v>
      </c>
      <c r="I20" s="12">
        <f t="shared" si="7"/>
        <v>0.20072401364935713</v>
      </c>
      <c r="J20" s="12">
        <f t="shared" si="7"/>
        <v>0.21453548990217897</v>
      </c>
      <c r="K20" s="12">
        <f t="shared" si="7"/>
        <v>0.21887858720214795</v>
      </c>
      <c r="L20" s="12">
        <f t="shared" si="7"/>
        <v>0.22174641018117508</v>
      </c>
      <c r="M20" s="12">
        <f t="shared" si="7"/>
        <v>0.22317346085016468</v>
      </c>
      <c r="N20" s="12">
        <f t="shared" si="7"/>
        <v>0.22317346085016471</v>
      </c>
      <c r="O20" s="119">
        <f t="shared" si="7"/>
        <v>0.22317346085016471</v>
      </c>
    </row>
    <row r="21" spans="2:15">
      <c r="B21" s="23"/>
      <c r="C21" s="15"/>
      <c r="D21" s="15"/>
      <c r="E21" s="15"/>
      <c r="F21" s="17"/>
      <c r="G21" s="17"/>
      <c r="H21" s="17"/>
      <c r="I21" s="17"/>
      <c r="J21" s="17"/>
      <c r="O21" s="37"/>
    </row>
    <row r="22" spans="2:15">
      <c r="B22" s="27" t="s">
        <v>35</v>
      </c>
      <c r="C22" s="18"/>
      <c r="D22" s="15"/>
      <c r="E22" s="15"/>
      <c r="F22" s="17"/>
      <c r="G22" s="17"/>
      <c r="H22" s="17"/>
      <c r="I22" s="17"/>
      <c r="J22" s="17"/>
      <c r="O22" s="37"/>
    </row>
    <row r="23" spans="2:15">
      <c r="B23" s="23" t="s">
        <v>27</v>
      </c>
      <c r="C23" s="15">
        <v>319.60000000000002</v>
      </c>
      <c r="D23" s="15">
        <v>310.89999999999998</v>
      </c>
      <c r="E23" s="15">
        <v>328</v>
      </c>
      <c r="F23" s="17">
        <f>E23*(1+Antagelser!C14)</f>
        <v>350.96000000000004</v>
      </c>
      <c r="G23" s="17">
        <f>F23*(1+Antagelser!D14)</f>
        <v>375.52720000000005</v>
      </c>
      <c r="H23" s="17">
        <f>G23*(1+Antagelser!E14)</f>
        <v>401.8141040000001</v>
      </c>
      <c r="I23" s="17">
        <f>H23*(1+Antagelser!F14)</f>
        <v>427.93202076000006</v>
      </c>
      <c r="J23" s="17">
        <f>I23*(1+Antagelser!G14)</f>
        <v>453.60794200560008</v>
      </c>
      <c r="K23" s="17">
        <f>J23*(1+Antagelser!H14)</f>
        <v>477.42235896089409</v>
      </c>
      <c r="L23" s="17">
        <f>K23*(1+Antagelser!I14)</f>
        <v>501.29347690893883</v>
      </c>
      <c r="M23" s="17">
        <f>L23*(1+Antagelser!J14)</f>
        <v>523.851683369841</v>
      </c>
      <c r="N23" s="17">
        <f>M23*(1+Antagelser!K14)</f>
        <v>544.80575070463465</v>
      </c>
      <c r="O23" s="24">
        <f>N23*(1+Antagelser!L14)</f>
        <v>561.1499232257737</v>
      </c>
    </row>
    <row r="24" spans="2:15">
      <c r="B24" s="23" t="s">
        <v>29</v>
      </c>
      <c r="C24" s="12"/>
      <c r="D24" s="12">
        <f>(D23-C23)/C23</f>
        <v>-2.7221526908635937E-2</v>
      </c>
      <c r="E24" s="12">
        <f t="shared" ref="E24:O24" si="8">(E23-D23)/D23</f>
        <v>5.500160823415897E-2</v>
      </c>
      <c r="F24" s="12">
        <f t="shared" si="8"/>
        <v>7.0000000000000118E-2</v>
      </c>
      <c r="G24" s="12">
        <f t="shared" si="8"/>
        <v>7.0000000000000034E-2</v>
      </c>
      <c r="H24" s="12">
        <f t="shared" si="8"/>
        <v>7.0000000000000118E-2</v>
      </c>
      <c r="I24" s="12">
        <f t="shared" si="8"/>
        <v>6.4999999999999877E-2</v>
      </c>
      <c r="J24" s="12">
        <f t="shared" si="8"/>
        <v>6.0000000000000046E-2</v>
      </c>
      <c r="K24" s="12">
        <f t="shared" si="8"/>
        <v>5.2500000000000005E-2</v>
      </c>
      <c r="L24" s="12">
        <f t="shared" si="8"/>
        <v>5.0000000000000079E-2</v>
      </c>
      <c r="M24" s="12">
        <f t="shared" si="8"/>
        <v>4.4999999999999846E-2</v>
      </c>
      <c r="N24" s="12">
        <f t="shared" si="8"/>
        <v>4.0000000000000015E-2</v>
      </c>
      <c r="O24" s="119">
        <f t="shared" si="8"/>
        <v>3.0000000000000034E-2</v>
      </c>
    </row>
    <row r="25" spans="2:15">
      <c r="B25" s="23" t="s">
        <v>11</v>
      </c>
      <c r="C25" s="12">
        <v>0.40699999999999997</v>
      </c>
      <c r="D25" s="12">
        <v>0.42899999999999999</v>
      </c>
      <c r="E25" s="12">
        <v>0.46899999999999997</v>
      </c>
      <c r="F25" s="14">
        <f>Antagelser!C15</f>
        <v>0.44</v>
      </c>
      <c r="G25" s="14">
        <f>Antagelser!D15</f>
        <v>0.45</v>
      </c>
      <c r="H25" s="14">
        <f>Antagelser!E15</f>
        <v>0.45500000000000002</v>
      </c>
      <c r="I25" s="14">
        <f>Antagelser!F15</f>
        <v>0.45500000000000002</v>
      </c>
      <c r="J25" s="14">
        <f>Antagelser!G15</f>
        <v>0.45500000000000002</v>
      </c>
      <c r="K25" s="14">
        <f>Antagelser!H15</f>
        <v>0.45500000000000002</v>
      </c>
      <c r="L25" s="14">
        <f>Antagelser!I15</f>
        <v>0.45500000000000002</v>
      </c>
      <c r="M25" s="14">
        <f>Antagelser!J15</f>
        <v>0.45500000000000002</v>
      </c>
      <c r="N25" s="14">
        <f>Antagelser!K15</f>
        <v>0.45500000000000002</v>
      </c>
      <c r="O25" s="25">
        <f>Antagelser!L15</f>
        <v>0.45500000000000002</v>
      </c>
    </row>
    <row r="26" spans="2:15">
      <c r="B26" s="23" t="s">
        <v>30</v>
      </c>
      <c r="C26" s="15">
        <f>C23*C25</f>
        <v>130.0772</v>
      </c>
      <c r="D26" s="15">
        <f t="shared" ref="D26:O26" si="9">D23*D25</f>
        <v>133.37609999999998</v>
      </c>
      <c r="E26" s="15">
        <f t="shared" si="9"/>
        <v>153.83199999999999</v>
      </c>
      <c r="F26" s="15">
        <f t="shared" si="9"/>
        <v>154.42240000000001</v>
      </c>
      <c r="G26" s="15">
        <f t="shared" si="9"/>
        <v>168.98724000000001</v>
      </c>
      <c r="H26" s="15">
        <f t="shared" si="9"/>
        <v>182.82541732000004</v>
      </c>
      <c r="I26" s="15">
        <f t="shared" si="9"/>
        <v>194.70906944580003</v>
      </c>
      <c r="J26" s="15">
        <f t="shared" si="9"/>
        <v>206.39161361254804</v>
      </c>
      <c r="K26" s="15">
        <f t="shared" si="9"/>
        <v>217.22717332720683</v>
      </c>
      <c r="L26" s="15">
        <f t="shared" si="9"/>
        <v>228.08853199356719</v>
      </c>
      <c r="M26" s="15">
        <f t="shared" si="9"/>
        <v>238.35251593327766</v>
      </c>
      <c r="N26" s="15">
        <f t="shared" si="9"/>
        <v>247.88661657060877</v>
      </c>
      <c r="O26" s="26">
        <f t="shared" si="9"/>
        <v>255.32321506772703</v>
      </c>
    </row>
    <row r="27" spans="2:15">
      <c r="B27" s="23" t="s">
        <v>31</v>
      </c>
      <c r="C27" s="15">
        <v>122.4</v>
      </c>
      <c r="D27" s="15">
        <v>112.6</v>
      </c>
      <c r="E27" s="15">
        <v>110.3</v>
      </c>
      <c r="F27" s="17">
        <f>E27*(1+Antagelser!C16)</f>
        <v>115.815</v>
      </c>
      <c r="G27" s="17">
        <f>F27*(1+Antagelser!D16)</f>
        <v>120.44760000000001</v>
      </c>
      <c r="H27" s="17">
        <f>G27*(1+Antagelser!E16)</f>
        <v>125.26550400000001</v>
      </c>
      <c r="I27" s="17">
        <f>H27*(1+Antagelser!F16)</f>
        <v>130.27612416000002</v>
      </c>
      <c r="J27" s="17">
        <f>I27*(1+Antagelser!G16)</f>
        <v>135.48716912640003</v>
      </c>
      <c r="K27" s="17">
        <f>J27*(1+Antagelser!H16)</f>
        <v>140.90665589145604</v>
      </c>
      <c r="L27" s="17">
        <f>K27*(1+Antagelser!I16)</f>
        <v>146.54292212711428</v>
      </c>
      <c r="M27" s="17">
        <f>L27*(1+Antagelser!J16)</f>
        <v>152.40463901219886</v>
      </c>
      <c r="N27" s="17">
        <f>M27*(1+Antagelser!K16)</f>
        <v>158.50082457268681</v>
      </c>
      <c r="O27" s="24">
        <f>N27*(1+Antagelser!L16)</f>
        <v>164.84085755559428</v>
      </c>
    </row>
    <row r="28" spans="2:15">
      <c r="B28" s="23" t="s">
        <v>32</v>
      </c>
      <c r="C28" s="17">
        <f t="shared" ref="C28" si="10">C26-C27</f>
        <v>7.6771999999999991</v>
      </c>
      <c r="D28" s="17">
        <f t="shared" ref="D28" si="11">D26-D27</f>
        <v>20.776099999999985</v>
      </c>
      <c r="E28" s="17">
        <f t="shared" ref="E28" si="12">E26-E27</f>
        <v>43.531999999999996</v>
      </c>
      <c r="F28" s="17">
        <f t="shared" ref="F28" si="13">F26-F27</f>
        <v>38.607400000000013</v>
      </c>
      <c r="G28" s="17">
        <f t="shared" ref="G28" si="14">G26-G27</f>
        <v>48.539640000000006</v>
      </c>
      <c r="H28" s="17">
        <f t="shared" ref="H28" si="15">H26-H27</f>
        <v>57.559913320000035</v>
      </c>
      <c r="I28" s="17">
        <f t="shared" ref="I28" si="16">I26-I27</f>
        <v>64.432945285800002</v>
      </c>
      <c r="J28" s="17">
        <f t="shared" ref="J28" si="17">J26-J27</f>
        <v>70.904444486148009</v>
      </c>
      <c r="K28" s="17">
        <f t="shared" ref="K28" si="18">K26-K27</f>
        <v>76.320517435750787</v>
      </c>
      <c r="L28" s="17">
        <f t="shared" ref="L28" si="19">L26-L27</f>
        <v>81.545609866452907</v>
      </c>
      <c r="M28" s="17">
        <f t="shared" ref="M28" si="20">M26-M27</f>
        <v>85.947876921078802</v>
      </c>
      <c r="N28" s="17">
        <f t="shared" ref="N28" si="21">N26-N27</f>
        <v>89.385791997921956</v>
      </c>
      <c r="O28" s="24">
        <f t="shared" ref="O28" si="22">O26-O27</f>
        <v>90.482357512132751</v>
      </c>
    </row>
    <row r="29" spans="2:15">
      <c r="B29" s="23" t="s">
        <v>33</v>
      </c>
      <c r="C29" s="12">
        <f>C28/C23</f>
        <v>2.4021276595744677E-2</v>
      </c>
      <c r="D29" s="12">
        <f t="shared" ref="D29:O29" si="23">D28/D23</f>
        <v>6.6825667417175896E-2</v>
      </c>
      <c r="E29" s="12">
        <f t="shared" si="23"/>
        <v>0.13271951219512193</v>
      </c>
      <c r="F29" s="12">
        <f t="shared" si="23"/>
        <v>0.11000512878960568</v>
      </c>
      <c r="G29" s="12">
        <f t="shared" si="23"/>
        <v>0.12925732144036436</v>
      </c>
      <c r="H29" s="12">
        <f t="shared" si="23"/>
        <v>0.14325010682054112</v>
      </c>
      <c r="I29" s="12">
        <f t="shared" si="23"/>
        <v>0.1505681794303875</v>
      </c>
      <c r="J29" s="12">
        <f t="shared" si="23"/>
        <v>0.15631217604490852</v>
      </c>
      <c r="K29" s="12">
        <f t="shared" si="23"/>
        <v>0.15985953737454145</v>
      </c>
      <c r="L29" s="12">
        <f t="shared" si="23"/>
        <v>0.16267039892335536</v>
      </c>
      <c r="M29" s="12">
        <f t="shared" si="23"/>
        <v>0.16406910514860237</v>
      </c>
      <c r="N29" s="12">
        <f t="shared" si="23"/>
        <v>0.16406910514860237</v>
      </c>
      <c r="O29" s="119">
        <f t="shared" si="23"/>
        <v>0.1612445333539286</v>
      </c>
    </row>
    <row r="30" spans="2:15">
      <c r="B30" s="23"/>
      <c r="C30" s="15"/>
      <c r="D30" s="15"/>
      <c r="E30" s="15"/>
      <c r="F30" s="17"/>
      <c r="G30" s="17"/>
      <c r="H30" s="17"/>
      <c r="I30" s="17"/>
      <c r="J30" s="17"/>
      <c r="O30" s="37"/>
    </row>
    <row r="31" spans="2:15">
      <c r="B31" s="27" t="s">
        <v>36</v>
      </c>
      <c r="C31" s="18"/>
      <c r="D31" s="15"/>
      <c r="E31" s="15"/>
      <c r="F31" s="17"/>
      <c r="G31" s="17"/>
      <c r="H31" s="17"/>
      <c r="I31" s="17"/>
      <c r="J31" s="17"/>
      <c r="O31" s="37"/>
    </row>
    <row r="32" spans="2:15">
      <c r="B32" s="23" t="s">
        <v>27</v>
      </c>
      <c r="C32" s="15">
        <v>0.8</v>
      </c>
      <c r="D32" s="15">
        <v>7.4</v>
      </c>
      <c r="E32" s="15">
        <v>32.299999999999997</v>
      </c>
      <c r="F32" s="17">
        <v>48</v>
      </c>
      <c r="G32" s="17">
        <v>60</v>
      </c>
      <c r="H32" s="17">
        <v>75</v>
      </c>
      <c r="I32" s="17">
        <v>90</v>
      </c>
      <c r="J32" s="17">
        <v>105</v>
      </c>
      <c r="K32" s="17">
        <v>118</v>
      </c>
      <c r="L32" s="17">
        <v>130</v>
      </c>
      <c r="M32" s="17">
        <v>141</v>
      </c>
      <c r="N32" s="17">
        <v>151</v>
      </c>
      <c r="O32" s="24">
        <v>160</v>
      </c>
    </row>
    <row r="33" spans="2:15">
      <c r="B33" s="23" t="s">
        <v>29</v>
      </c>
      <c r="C33" s="12"/>
      <c r="D33" s="12">
        <f>(D32-C32)/C32</f>
        <v>8.25</v>
      </c>
      <c r="E33" s="12">
        <f t="shared" ref="E33:I33" si="24">(E32-D32)/D32</f>
        <v>3.3648648648648645</v>
      </c>
      <c r="F33" s="14">
        <f t="shared" si="24"/>
        <v>0.48606811145510848</v>
      </c>
      <c r="G33" s="14">
        <f t="shared" si="24"/>
        <v>0.25</v>
      </c>
      <c r="H33" s="14">
        <f t="shared" si="24"/>
        <v>0.25</v>
      </c>
      <c r="I33" s="14">
        <f t="shared" si="24"/>
        <v>0.2</v>
      </c>
      <c r="J33" s="14">
        <f>(J32-I32)/I32</f>
        <v>0.16666666666666666</v>
      </c>
      <c r="K33" s="14">
        <f t="shared" ref="K33:O33" si="25">(K32-J32)/J32</f>
        <v>0.12380952380952381</v>
      </c>
      <c r="L33" s="14">
        <f t="shared" si="25"/>
        <v>0.10169491525423729</v>
      </c>
      <c r="M33" s="14">
        <f t="shared" si="25"/>
        <v>8.461538461538462E-2</v>
      </c>
      <c r="N33" s="14">
        <f t="shared" si="25"/>
        <v>7.0921985815602842E-2</v>
      </c>
      <c r="O33" s="25">
        <f t="shared" si="25"/>
        <v>5.9602649006622516E-2</v>
      </c>
    </row>
    <row r="34" spans="2:15">
      <c r="B34" s="23" t="s">
        <v>11</v>
      </c>
      <c r="C34" s="12">
        <v>-1.194</v>
      </c>
      <c r="D34" s="12">
        <v>0.501</v>
      </c>
      <c r="E34" s="12">
        <v>0.59399999999999997</v>
      </c>
      <c r="F34" s="14">
        <v>0.6</v>
      </c>
      <c r="G34" s="14">
        <v>0.62</v>
      </c>
      <c r="H34" s="14">
        <v>0.63</v>
      </c>
      <c r="I34" s="14">
        <v>0.64</v>
      </c>
      <c r="J34" s="14">
        <v>0.65</v>
      </c>
      <c r="K34" s="114">
        <v>0.65500000000000003</v>
      </c>
      <c r="L34" s="114">
        <v>0.66</v>
      </c>
      <c r="M34" s="114">
        <v>0.66</v>
      </c>
      <c r="N34" s="114">
        <v>0.66</v>
      </c>
      <c r="O34" s="120">
        <v>0.66</v>
      </c>
    </row>
    <row r="35" spans="2:15">
      <c r="B35" s="23" t="s">
        <v>30</v>
      </c>
      <c r="C35" s="15">
        <f t="shared" ref="C35:D35" si="26">C34*C32</f>
        <v>-0.95520000000000005</v>
      </c>
      <c r="D35" s="15">
        <f t="shared" si="26"/>
        <v>3.7074000000000003</v>
      </c>
      <c r="E35" s="15">
        <f>E34*E32</f>
        <v>19.186199999999996</v>
      </c>
      <c r="F35" s="17">
        <f t="shared" ref="F35" si="27">F34*F32</f>
        <v>28.799999999999997</v>
      </c>
      <c r="G35" s="17">
        <f t="shared" ref="G35:H35" si="28">G34*G32</f>
        <v>37.200000000000003</v>
      </c>
      <c r="H35" s="17">
        <f t="shared" si="28"/>
        <v>47.25</v>
      </c>
      <c r="I35" s="17">
        <f t="shared" ref="I35" si="29">I34*I32</f>
        <v>57.6</v>
      </c>
      <c r="J35" s="17">
        <f t="shared" ref="J35" si="30">J34*J32</f>
        <v>68.25</v>
      </c>
      <c r="K35" s="17">
        <f t="shared" ref="K35" si="31">K34*K32</f>
        <v>77.290000000000006</v>
      </c>
      <c r="L35" s="17">
        <f t="shared" ref="L35" si="32">L34*L32</f>
        <v>85.8</v>
      </c>
      <c r="M35" s="17">
        <f t="shared" ref="M35" si="33">M34*M32</f>
        <v>93.06</v>
      </c>
      <c r="N35" s="17">
        <f t="shared" ref="N35:O35" si="34">N34*N32</f>
        <v>99.660000000000011</v>
      </c>
      <c r="O35" s="24">
        <f t="shared" si="34"/>
        <v>105.60000000000001</v>
      </c>
    </row>
    <row r="36" spans="2:15">
      <c r="B36" s="23" t="s">
        <v>31</v>
      </c>
      <c r="C36" s="15">
        <v>7.2</v>
      </c>
      <c r="D36" s="15">
        <v>11.1</v>
      </c>
      <c r="E36" s="15">
        <v>23.9</v>
      </c>
      <c r="F36" s="17">
        <v>29</v>
      </c>
      <c r="G36" s="17">
        <v>34</v>
      </c>
      <c r="H36" s="17">
        <v>40</v>
      </c>
      <c r="I36" s="17">
        <v>48</v>
      </c>
      <c r="J36" s="17">
        <v>52</v>
      </c>
      <c r="K36" s="17">
        <v>59</v>
      </c>
      <c r="L36" s="17">
        <v>65</v>
      </c>
      <c r="M36" s="17">
        <v>71</v>
      </c>
      <c r="N36" s="17">
        <v>77</v>
      </c>
      <c r="O36" s="24">
        <v>82</v>
      </c>
    </row>
    <row r="37" spans="2:15">
      <c r="B37" s="23" t="s">
        <v>1</v>
      </c>
      <c r="C37" s="17">
        <f t="shared" ref="C37:I37" si="35">C35-C36</f>
        <v>-8.1552000000000007</v>
      </c>
      <c r="D37" s="17">
        <f t="shared" si="35"/>
        <v>-7.3925999999999998</v>
      </c>
      <c r="E37" s="17">
        <f t="shared" si="35"/>
        <v>-4.7138000000000027</v>
      </c>
      <c r="F37" s="17">
        <f t="shared" si="35"/>
        <v>-0.20000000000000284</v>
      </c>
      <c r="G37" s="17">
        <f t="shared" si="35"/>
        <v>3.2000000000000028</v>
      </c>
      <c r="H37" s="17">
        <f>H35-H36</f>
        <v>7.25</v>
      </c>
      <c r="I37" s="17">
        <f t="shared" si="35"/>
        <v>9.6000000000000014</v>
      </c>
      <c r="J37" s="17">
        <f>J35-J36</f>
        <v>16.25</v>
      </c>
      <c r="K37" s="15">
        <f>K35-K36</f>
        <v>18.290000000000006</v>
      </c>
      <c r="L37" s="15">
        <f t="shared" ref="L37:O37" si="36">L35-L36</f>
        <v>20.799999999999997</v>
      </c>
      <c r="M37" s="15">
        <f t="shared" si="36"/>
        <v>22.060000000000002</v>
      </c>
      <c r="N37" s="15">
        <f t="shared" si="36"/>
        <v>22.660000000000011</v>
      </c>
      <c r="O37" s="26">
        <f t="shared" si="36"/>
        <v>23.600000000000009</v>
      </c>
    </row>
    <row r="38" spans="2:15">
      <c r="B38" s="23" t="s">
        <v>44</v>
      </c>
      <c r="C38" s="12">
        <f>C37/C32</f>
        <v>-10.194000000000001</v>
      </c>
      <c r="D38" s="12">
        <f t="shared" ref="D38:J38" si="37">D37/D32</f>
        <v>-0.99899999999999989</v>
      </c>
      <c r="E38" s="12">
        <f t="shared" si="37"/>
        <v>-0.14593808049535614</v>
      </c>
      <c r="F38" s="14">
        <f t="shared" si="37"/>
        <v>-4.1666666666667256E-3</v>
      </c>
      <c r="G38" s="14">
        <f t="shared" si="37"/>
        <v>5.3333333333333378E-2</v>
      </c>
      <c r="H38" s="14">
        <f t="shared" si="37"/>
        <v>9.6666666666666665E-2</v>
      </c>
      <c r="I38" s="14">
        <f t="shared" si="37"/>
        <v>0.10666666666666669</v>
      </c>
      <c r="J38" s="14">
        <f t="shared" si="37"/>
        <v>0.15476190476190477</v>
      </c>
      <c r="K38" s="14">
        <f t="shared" ref="K38" si="38">K37/K32</f>
        <v>0.15500000000000005</v>
      </c>
      <c r="L38" s="14">
        <f t="shared" ref="L38" si="39">L37/L32</f>
        <v>0.15999999999999998</v>
      </c>
      <c r="M38" s="14">
        <f t="shared" ref="M38" si="40">M37/M32</f>
        <v>0.15645390070921988</v>
      </c>
      <c r="N38" s="14">
        <f t="shared" ref="N38" si="41">N37/N32</f>
        <v>0.15006622516556298</v>
      </c>
      <c r="O38" s="25">
        <f t="shared" ref="O38" si="42">O37/O32</f>
        <v>0.14750000000000005</v>
      </c>
    </row>
    <row r="39" spans="2:15" ht="15" customHeight="1">
      <c r="B39" s="23"/>
      <c r="C39" s="15"/>
      <c r="D39" s="15"/>
      <c r="E39" s="15"/>
      <c r="F39" s="17"/>
      <c r="G39" s="17"/>
      <c r="H39" s="17"/>
      <c r="I39" s="17"/>
      <c r="J39" s="17"/>
      <c r="O39" s="37"/>
    </row>
    <row r="40" spans="2:15">
      <c r="B40" s="23" t="s">
        <v>37</v>
      </c>
      <c r="C40" s="15">
        <v>-14.7</v>
      </c>
      <c r="D40" s="15">
        <v>-22.7</v>
      </c>
      <c r="E40" s="15">
        <v>-17</v>
      </c>
      <c r="F40" s="17">
        <f>(C40+D40+E40)/3</f>
        <v>-18.133333333333333</v>
      </c>
      <c r="G40" s="17">
        <v>-18.7</v>
      </c>
      <c r="H40" s="17">
        <v>-19.3</v>
      </c>
      <c r="I40" s="17">
        <v>-19.899999999999999</v>
      </c>
      <c r="J40" s="17">
        <v>-20.5</v>
      </c>
      <c r="K40" s="17">
        <v>-21.5</v>
      </c>
      <c r="L40" s="17">
        <f>-22.5</f>
        <v>-22.5</v>
      </c>
      <c r="M40" s="17">
        <v>-23.5</v>
      </c>
      <c r="N40" s="17">
        <v>-24.5</v>
      </c>
      <c r="O40" s="24">
        <v>-25.5</v>
      </c>
    </row>
    <row r="41" spans="2:15">
      <c r="B41" s="23" t="s">
        <v>1</v>
      </c>
      <c r="C41" s="15">
        <f>C10+C19+C28+C37+C40</f>
        <v>161.67680000000004</v>
      </c>
      <c r="D41" s="15">
        <f t="shared" ref="D41:J41" si="43">D10+D19+D28+D37+D40</f>
        <v>181.50710000000004</v>
      </c>
      <c r="E41" s="15">
        <f t="shared" si="43"/>
        <v>171.68809999999996</v>
      </c>
      <c r="F41" s="17">
        <f t="shared" si="43"/>
        <v>192.63636666666667</v>
      </c>
      <c r="G41" s="17">
        <f t="shared" si="43"/>
        <v>240.885334</v>
      </c>
      <c r="H41" s="17">
        <f t="shared" si="43"/>
        <v>281.34340094000004</v>
      </c>
      <c r="I41" s="17">
        <f t="shared" si="43"/>
        <v>313.04176677500016</v>
      </c>
      <c r="J41" s="17">
        <f t="shared" si="43"/>
        <v>347.84171920246013</v>
      </c>
      <c r="K41" s="17">
        <f t="shared" ref="K41" si="44">K10+K19+K28+K37+K40</f>
        <v>372.26382519612878</v>
      </c>
      <c r="L41" s="17">
        <f t="shared" ref="L41" si="45">L10+L19+L28+L37+L40</f>
        <v>394.86064128703623</v>
      </c>
      <c r="M41" s="17">
        <f t="shared" ref="M41" si="46">M10+M19+M28+M37+M40</f>
        <v>414.16869505712526</v>
      </c>
      <c r="N41" s="17">
        <f t="shared" ref="N41" si="47">N10+N19+N28+N37+N40</f>
        <v>428.64659364912546</v>
      </c>
      <c r="O41" s="24">
        <f t="shared" ref="O41" si="48">O10+O19+O28+O37+O40</f>
        <v>439.80032377458014</v>
      </c>
    </row>
    <row r="42" spans="2:15">
      <c r="B42" s="23"/>
      <c r="C42" s="15"/>
      <c r="D42" s="15"/>
      <c r="E42" s="15"/>
      <c r="F42" s="17"/>
      <c r="G42" s="17"/>
      <c r="H42" s="17"/>
      <c r="I42" s="17"/>
      <c r="J42" s="17"/>
      <c r="O42" s="37"/>
    </row>
    <row r="43" spans="2:15">
      <c r="B43" s="27" t="s">
        <v>38</v>
      </c>
      <c r="C43" s="18"/>
      <c r="D43" s="15"/>
      <c r="E43" s="15"/>
      <c r="F43" s="17"/>
      <c r="G43" s="17"/>
      <c r="H43" s="17"/>
      <c r="I43" s="17"/>
      <c r="J43" s="17"/>
      <c r="O43" s="37"/>
    </row>
    <row r="44" spans="2:15">
      <c r="B44" s="23" t="s">
        <v>27</v>
      </c>
      <c r="C44" s="15">
        <f>C32+C23+C14+C5</f>
        <v>1287.9000000000001</v>
      </c>
      <c r="D44" s="15">
        <f t="shared" ref="D44:O44" si="49">D32+D23+D14+D5</f>
        <v>1357.1999999999998</v>
      </c>
      <c r="E44" s="15">
        <f t="shared" si="49"/>
        <v>1319</v>
      </c>
      <c r="F44" s="17">
        <f t="shared" si="49"/>
        <v>1480.04</v>
      </c>
      <c r="G44" s="17">
        <f t="shared" si="49"/>
        <v>1603.0936000000002</v>
      </c>
      <c r="H44" s="17">
        <f t="shared" si="49"/>
        <v>1732.8263480000001</v>
      </c>
      <c r="I44" s="17">
        <f t="shared" si="49"/>
        <v>1854.2302098000005</v>
      </c>
      <c r="J44" s="17">
        <f t="shared" si="49"/>
        <v>1977.7436360040003</v>
      </c>
      <c r="K44" s="17">
        <f>K32+K23+K14+K5</f>
        <v>2092.6105161292062</v>
      </c>
      <c r="L44" s="17">
        <f t="shared" si="49"/>
        <v>2203.3410419356665</v>
      </c>
      <c r="M44" s="17">
        <f t="shared" si="49"/>
        <v>2307.6413888227717</v>
      </c>
      <c r="N44" s="17">
        <f t="shared" si="49"/>
        <v>2402.6599048880926</v>
      </c>
      <c r="O44" s="24">
        <f t="shared" si="49"/>
        <v>2486.0391834359966</v>
      </c>
    </row>
    <row r="45" spans="2:15">
      <c r="B45" s="23" t="s">
        <v>29</v>
      </c>
      <c r="C45" s="12"/>
      <c r="D45" s="12">
        <f>(D44-C44)/C44</f>
        <v>5.3808525506638498E-2</v>
      </c>
      <c r="E45" s="12">
        <f t="shared" ref="E45:J45" si="50">(E44-D44)/D44</f>
        <v>-2.814618331859698E-2</v>
      </c>
      <c r="F45" s="12">
        <f t="shared" si="50"/>
        <v>0.12209249431387412</v>
      </c>
      <c r="G45" s="12">
        <f t="shared" si="50"/>
        <v>8.3142077241155771E-2</v>
      </c>
      <c r="H45" s="12">
        <f t="shared" si="50"/>
        <v>8.0926496119752389E-2</v>
      </c>
      <c r="I45" s="12">
        <f t="shared" si="50"/>
        <v>7.0061181802852188E-2</v>
      </c>
      <c r="J45" s="12">
        <f t="shared" si="50"/>
        <v>6.6611699858628762E-2</v>
      </c>
      <c r="K45" s="12">
        <f>(K44-J44)/J44</f>
        <v>5.8079762227066276E-2</v>
      </c>
      <c r="L45" s="12">
        <f t="shared" ref="L45" si="51">(L44-K44)/K44</f>
        <v>5.2915019279977334E-2</v>
      </c>
      <c r="M45" s="12">
        <f t="shared" ref="M45" si="52">(M44-L44)/L44</f>
        <v>4.7337359447303655E-2</v>
      </c>
      <c r="N45" s="12">
        <f t="shared" ref="N45" si="53">(N44-M44)/M44</f>
        <v>4.117559882811514E-2</v>
      </c>
      <c r="O45" s="119">
        <f t="shared" ref="O45" si="54">(O44-N44)/N44</f>
        <v>3.4702905050470537E-2</v>
      </c>
    </row>
    <row r="46" spans="2:15">
      <c r="B46" s="23" t="s">
        <v>30</v>
      </c>
      <c r="C46" s="15">
        <f>C35+C26+C17+C8</f>
        <v>548.3768</v>
      </c>
      <c r="D46" s="15">
        <f>D35+D26+D17+D8</f>
        <v>590.50710000000004</v>
      </c>
      <c r="E46" s="15">
        <f t="shared" ref="E46:O46" si="55">E35+E26+E17+E8</f>
        <v>585.88809999999989</v>
      </c>
      <c r="F46" s="17">
        <f t="shared" si="55"/>
        <v>630.16470000000004</v>
      </c>
      <c r="G46" s="17">
        <f t="shared" si="55"/>
        <v>698.08085400000004</v>
      </c>
      <c r="H46" s="17">
        <f t="shared" si="55"/>
        <v>763.38642814000013</v>
      </c>
      <c r="I46" s="17">
        <f t="shared" si="55"/>
        <v>822.76558578300012</v>
      </c>
      <c r="J46" s="17">
        <f t="shared" si="55"/>
        <v>882.11811522678022</v>
      </c>
      <c r="K46" s="17">
        <f t="shared" si="55"/>
        <v>935.40488253022158</v>
      </c>
      <c r="L46" s="17">
        <f t="shared" si="55"/>
        <v>986.82062665673288</v>
      </c>
      <c r="M46" s="17">
        <f t="shared" si="55"/>
        <v>1034.6265548562856</v>
      </c>
      <c r="N46" s="17">
        <f t="shared" si="55"/>
        <v>1078.0327045169902</v>
      </c>
      <c r="O46" s="24">
        <f t="shared" si="55"/>
        <v>1116.0898256200107</v>
      </c>
    </row>
    <row r="47" spans="2:15">
      <c r="B47" s="23" t="s">
        <v>11</v>
      </c>
      <c r="C47" s="13">
        <f>C46/C44</f>
        <v>0.42579144343504927</v>
      </c>
      <c r="D47" s="13">
        <f t="shared" ref="D47:J47" si="56">D46/D44</f>
        <v>0.43509217506631309</v>
      </c>
      <c r="E47" s="13">
        <f t="shared" si="56"/>
        <v>0.44419112964366936</v>
      </c>
      <c r="F47" s="19">
        <f t="shared" si="56"/>
        <v>0.42577545201481043</v>
      </c>
      <c r="G47" s="19">
        <f t="shared" si="56"/>
        <v>0.43545857459601861</v>
      </c>
      <c r="H47" s="19">
        <f t="shared" si="56"/>
        <v>0.44054410242612502</v>
      </c>
      <c r="I47" s="19">
        <f t="shared" si="56"/>
        <v>0.44372353628719308</v>
      </c>
      <c r="J47" s="14">
        <f t="shared" si="56"/>
        <v>0.44602247691166175</v>
      </c>
      <c r="K47" s="14">
        <f t="shared" ref="K47" si="57">K46/K44</f>
        <v>0.44700381428861458</v>
      </c>
      <c r="L47" s="14">
        <f t="shared" ref="L47" si="58">L46/L44</f>
        <v>0.44787466301167655</v>
      </c>
      <c r="M47" s="14">
        <f t="shared" ref="M47" si="59">M46/M44</f>
        <v>0.44834806650096254</v>
      </c>
      <c r="N47" s="14">
        <f t="shared" ref="N47" si="60">N46/N44</f>
        <v>0.44868302098178192</v>
      </c>
      <c r="O47" s="25">
        <f t="shared" ref="O47" si="61">O46/O44</f>
        <v>0.4489429744536223</v>
      </c>
    </row>
    <row r="48" spans="2:15">
      <c r="B48" s="23" t="s">
        <v>32</v>
      </c>
      <c r="C48" s="15">
        <f>C41</f>
        <v>161.67680000000004</v>
      </c>
      <c r="D48" s="15">
        <f t="shared" ref="D48:O48" si="62">D41</f>
        <v>181.50710000000004</v>
      </c>
      <c r="E48" s="15">
        <f t="shared" si="62"/>
        <v>171.68809999999996</v>
      </c>
      <c r="F48" s="15">
        <f t="shared" si="62"/>
        <v>192.63636666666667</v>
      </c>
      <c r="G48" s="15">
        <f t="shared" si="62"/>
        <v>240.885334</v>
      </c>
      <c r="H48" s="15">
        <f t="shared" si="62"/>
        <v>281.34340094000004</v>
      </c>
      <c r="I48" s="15">
        <f t="shared" si="62"/>
        <v>313.04176677500016</v>
      </c>
      <c r="J48" s="15">
        <f t="shared" si="62"/>
        <v>347.84171920246013</v>
      </c>
      <c r="K48" s="15">
        <f t="shared" si="62"/>
        <v>372.26382519612878</v>
      </c>
      <c r="L48" s="15">
        <f t="shared" si="62"/>
        <v>394.86064128703623</v>
      </c>
      <c r="M48" s="15">
        <f t="shared" si="62"/>
        <v>414.16869505712526</v>
      </c>
      <c r="N48" s="15">
        <f t="shared" si="62"/>
        <v>428.64659364912546</v>
      </c>
      <c r="O48" s="26">
        <f t="shared" si="62"/>
        <v>439.80032377458014</v>
      </c>
    </row>
    <row r="49" spans="2:15" ht="17" thickBot="1">
      <c r="B49" s="28" t="s">
        <v>33</v>
      </c>
      <c r="C49" s="29">
        <f>C48/C44</f>
        <v>0.12553521236120818</v>
      </c>
      <c r="D49" s="29">
        <f t="shared" ref="D49:I49" si="63">D48/D44</f>
        <v>0.13373644267609788</v>
      </c>
      <c r="E49" s="29">
        <f t="shared" si="63"/>
        <v>0.13016535253980285</v>
      </c>
      <c r="F49" s="30">
        <f t="shared" si="63"/>
        <v>0.1301561894723566</v>
      </c>
      <c r="G49" s="30">
        <f t="shared" si="63"/>
        <v>0.15026280062499156</v>
      </c>
      <c r="H49" s="30">
        <f t="shared" si="63"/>
        <v>0.16236098975798816</v>
      </c>
      <c r="I49" s="30">
        <f t="shared" si="63"/>
        <v>0.16882572893080261</v>
      </c>
      <c r="J49" s="30">
        <f>J48/J44</f>
        <v>0.17587806269232589</v>
      </c>
      <c r="K49" s="30">
        <f>K48/K44</f>
        <v>0.17789446355489102</v>
      </c>
      <c r="L49" s="30">
        <f t="shared" ref="L49:O49" si="64">L48/L44</f>
        <v>0.17920995151079541</v>
      </c>
      <c r="M49" s="30">
        <f t="shared" si="64"/>
        <v>0.17947706132468474</v>
      </c>
      <c r="N49" s="30">
        <f t="shared" si="64"/>
        <v>0.178405022191058</v>
      </c>
      <c r="O49" s="31">
        <f t="shared" si="64"/>
        <v>0.17690804179792721</v>
      </c>
    </row>
    <row r="50" spans="2:15" ht="17" thickBot="1"/>
    <row r="51" spans="2:15">
      <c r="B51" s="33" t="s">
        <v>50</v>
      </c>
      <c r="C51" s="34" t="str">
        <f>F4</f>
        <v>2026E</v>
      </c>
      <c r="D51" s="34" t="str">
        <f t="shared" ref="D51:G51" si="65">G4</f>
        <v>2027E</v>
      </c>
      <c r="E51" s="34" t="str">
        <f t="shared" si="65"/>
        <v>2028E</v>
      </c>
      <c r="F51" s="34" t="str">
        <f t="shared" si="65"/>
        <v>2029E</v>
      </c>
      <c r="G51" s="34" t="str">
        <f t="shared" si="65"/>
        <v>2030E</v>
      </c>
      <c r="H51" s="34" t="str">
        <f t="shared" ref="H51" si="66">K4</f>
        <v>2031E</v>
      </c>
      <c r="I51" s="34" t="str">
        <f t="shared" ref="I51" si="67">L4</f>
        <v>2032E</v>
      </c>
      <c r="J51" s="34" t="str">
        <f t="shared" ref="J51" si="68">M4</f>
        <v>2033E</v>
      </c>
      <c r="K51" s="34" t="str">
        <f t="shared" ref="K51" si="69">N4</f>
        <v>2034E</v>
      </c>
      <c r="L51" s="35" t="str">
        <f t="shared" ref="L51" si="70">O4</f>
        <v>2035E</v>
      </c>
      <c r="M51" s="113"/>
      <c r="N51" s="113"/>
      <c r="O51" s="113"/>
    </row>
    <row r="52" spans="2:15">
      <c r="B52" s="27" t="s">
        <v>27</v>
      </c>
      <c r="C52" s="15">
        <f>F44</f>
        <v>1480.04</v>
      </c>
      <c r="D52" s="15">
        <f t="shared" ref="D52:G52" si="71">G44</f>
        <v>1603.0936000000002</v>
      </c>
      <c r="E52" s="15">
        <f t="shared" si="71"/>
        <v>1732.8263480000001</v>
      </c>
      <c r="F52" s="15">
        <f t="shared" si="71"/>
        <v>1854.2302098000005</v>
      </c>
      <c r="G52" s="15">
        <f t="shared" si="71"/>
        <v>1977.7436360040003</v>
      </c>
      <c r="H52" s="15">
        <f t="shared" ref="H52" si="72">K44</f>
        <v>2092.6105161292062</v>
      </c>
      <c r="I52" s="15">
        <f t="shared" ref="I52" si="73">L44</f>
        <v>2203.3410419356665</v>
      </c>
      <c r="J52" s="15">
        <f t="shared" ref="J52" si="74">M44</f>
        <v>2307.6413888227717</v>
      </c>
      <c r="K52" s="15">
        <f t="shared" ref="K52" si="75">N44</f>
        <v>2402.6599048880926</v>
      </c>
      <c r="L52" s="26">
        <f t="shared" ref="L52" si="76">O44</f>
        <v>2486.0391834359966</v>
      </c>
      <c r="M52" s="15"/>
      <c r="N52" s="15"/>
      <c r="O52" s="15"/>
    </row>
    <row r="53" spans="2:15">
      <c r="B53" s="27" t="s">
        <v>32</v>
      </c>
      <c r="C53" s="15">
        <f>F48</f>
        <v>192.63636666666667</v>
      </c>
      <c r="D53" s="15">
        <f t="shared" ref="D53:G53" si="77">G48</f>
        <v>240.885334</v>
      </c>
      <c r="E53" s="15">
        <f t="shared" si="77"/>
        <v>281.34340094000004</v>
      </c>
      <c r="F53" s="15">
        <f t="shared" si="77"/>
        <v>313.04176677500016</v>
      </c>
      <c r="G53" s="15">
        <f t="shared" si="77"/>
        <v>347.84171920246013</v>
      </c>
      <c r="H53" s="15">
        <f t="shared" ref="H53:H54" si="78">K48</f>
        <v>372.26382519612878</v>
      </c>
      <c r="I53" s="15">
        <f t="shared" ref="I53:I54" si="79">L48</f>
        <v>394.86064128703623</v>
      </c>
      <c r="J53" s="15">
        <f t="shared" ref="J53:J54" si="80">M48</f>
        <v>414.16869505712526</v>
      </c>
      <c r="K53" s="15">
        <f t="shared" ref="K53:K54" si="81">N48</f>
        <v>428.64659364912546</v>
      </c>
      <c r="L53" s="26">
        <f t="shared" ref="L53:L54" si="82">O48</f>
        <v>439.80032377458014</v>
      </c>
      <c r="M53" s="15"/>
      <c r="N53" s="15"/>
      <c r="O53" s="15"/>
    </row>
    <row r="54" spans="2:15">
      <c r="B54" s="27" t="s">
        <v>44</v>
      </c>
      <c r="C54" s="9">
        <f>F49</f>
        <v>0.1301561894723566</v>
      </c>
      <c r="D54" s="9">
        <f t="shared" ref="D54:G54" si="83">G49</f>
        <v>0.15026280062499156</v>
      </c>
      <c r="E54" s="9">
        <f t="shared" si="83"/>
        <v>0.16236098975798816</v>
      </c>
      <c r="F54" s="9">
        <f t="shared" si="83"/>
        <v>0.16882572893080261</v>
      </c>
      <c r="G54" s="9">
        <f t="shared" si="83"/>
        <v>0.17587806269232589</v>
      </c>
      <c r="H54" s="9">
        <f t="shared" si="78"/>
        <v>0.17789446355489102</v>
      </c>
      <c r="I54" s="9">
        <f t="shared" si="79"/>
        <v>0.17920995151079541</v>
      </c>
      <c r="J54" s="9">
        <f t="shared" si="80"/>
        <v>0.17947706132468474</v>
      </c>
      <c r="K54" s="9">
        <f t="shared" si="81"/>
        <v>0.178405022191058</v>
      </c>
      <c r="L54" s="36">
        <f t="shared" si="82"/>
        <v>0.17690804179792721</v>
      </c>
      <c r="M54" s="9"/>
      <c r="N54" s="9"/>
      <c r="O54" s="9"/>
    </row>
    <row r="55" spans="2:15">
      <c r="B55" s="27" t="s">
        <v>59</v>
      </c>
      <c r="C55" s="15">
        <f>C52*Antagelser!C19</f>
        <v>29.6008</v>
      </c>
      <c r="D55" s="15">
        <f>D52*Antagelser!D19</f>
        <v>30.458778400000003</v>
      </c>
      <c r="E55" s="15">
        <f>E52*Antagelser!E19</f>
        <v>31.190874263999998</v>
      </c>
      <c r="F55" s="15">
        <f>F52*Antagelser!F19</f>
        <v>31.521913566600009</v>
      </c>
      <c r="G55" s="15">
        <f>G52*Antagelser!G19</f>
        <v>33.621641812068006</v>
      </c>
      <c r="H55" s="15">
        <f>H52*Antagelser!H19</f>
        <v>33.481768258067298</v>
      </c>
      <c r="I55" s="15">
        <f>I52*Antagelser!I19</f>
        <v>33.050115629034998</v>
      </c>
      <c r="J55" s="15">
        <f>J52*Antagelser!J19</f>
        <v>32.306979443518799</v>
      </c>
      <c r="K55" s="15">
        <f>K52*Antagelser!K19</f>
        <v>31.234578763545201</v>
      </c>
      <c r="L55" s="26">
        <f>L52*Antagelser!L19</f>
        <v>29.83247020123196</v>
      </c>
    </row>
    <row r="56" spans="2:15">
      <c r="B56" s="27" t="s">
        <v>60</v>
      </c>
      <c r="C56" s="15">
        <f>C53-C55</f>
        <v>163.03556666666668</v>
      </c>
      <c r="D56" s="15">
        <f t="shared" ref="D56:G56" si="84">D53-D55</f>
        <v>210.4265556</v>
      </c>
      <c r="E56" s="15">
        <f t="shared" si="84"/>
        <v>250.15252667600004</v>
      </c>
      <c r="F56" s="15">
        <f t="shared" si="84"/>
        <v>281.51985320840015</v>
      </c>
      <c r="G56" s="15">
        <f t="shared" si="84"/>
        <v>314.22007739039213</v>
      </c>
      <c r="H56" s="15">
        <f t="shared" ref="H56" si="85">H53-H55</f>
        <v>338.78205693806149</v>
      </c>
      <c r="I56" s="15">
        <f t="shared" ref="I56" si="86">I53-I55</f>
        <v>361.81052565800121</v>
      </c>
      <c r="J56" s="15">
        <f t="shared" ref="J56" si="87">J53-J55</f>
        <v>381.86171561360646</v>
      </c>
      <c r="K56" s="15">
        <f t="shared" ref="K56" si="88">K53-K55</f>
        <v>397.41201488558028</v>
      </c>
      <c r="L56" s="26">
        <f t="shared" ref="L56" si="89">L53-L55</f>
        <v>409.96785357334818</v>
      </c>
    </row>
    <row r="57" spans="2:15">
      <c r="B57" s="27" t="s">
        <v>52</v>
      </c>
      <c r="C57" s="1">
        <f>Antagelser!C20</f>
        <v>0.245</v>
      </c>
      <c r="D57" s="1">
        <f>Antagelser!D20</f>
        <v>0.245</v>
      </c>
      <c r="E57" s="1">
        <f>Antagelser!E20</f>
        <v>0.245</v>
      </c>
      <c r="F57" s="1">
        <f>Antagelser!F20</f>
        <v>0.245</v>
      </c>
      <c r="G57" s="1">
        <f>Antagelser!G20</f>
        <v>0.245</v>
      </c>
      <c r="H57" s="1">
        <f>Antagelser!H20</f>
        <v>0.245</v>
      </c>
      <c r="I57" s="1">
        <f>Antagelser!I20</f>
        <v>0.245</v>
      </c>
      <c r="J57" s="1">
        <f>Antagelser!J20</f>
        <v>0.245</v>
      </c>
      <c r="K57" s="1">
        <f>Antagelser!K20</f>
        <v>0.245</v>
      </c>
      <c r="L57" s="40">
        <f>Antagelser!L20</f>
        <v>0.245</v>
      </c>
    </row>
    <row r="58" spans="2:15">
      <c r="B58" s="27" t="s">
        <v>53</v>
      </c>
      <c r="C58" s="15">
        <f>C56*(1-C57)</f>
        <v>123.09185283333335</v>
      </c>
      <c r="D58" s="15">
        <f t="shared" ref="D58:G58" si="90">D56*(1-D57)</f>
        <v>158.87204947800001</v>
      </c>
      <c r="E58" s="15">
        <f t="shared" si="90"/>
        <v>188.86515764038003</v>
      </c>
      <c r="F58" s="15">
        <f t="shared" si="90"/>
        <v>212.54748917234213</v>
      </c>
      <c r="G58" s="15">
        <f t="shared" si="90"/>
        <v>237.23615842974607</v>
      </c>
      <c r="H58" s="15">
        <f t="shared" ref="H58" si="91">H56*(1-H57)</f>
        <v>255.78045298823642</v>
      </c>
      <c r="I58" s="15">
        <f t="shared" ref="I58" si="92">I56*(1-I57)</f>
        <v>273.16694687179091</v>
      </c>
      <c r="J58" s="15">
        <f t="shared" ref="J58" si="93">J56*(1-J57)</f>
        <v>288.30559528827285</v>
      </c>
      <c r="K58" s="15">
        <f t="shared" ref="K58" si="94">K56*(1-K57)</f>
        <v>300.04607123861314</v>
      </c>
      <c r="L58" s="26">
        <f t="shared" ref="L58" si="95">L56*(1-L57)</f>
        <v>309.52572944787789</v>
      </c>
    </row>
    <row r="59" spans="2:15">
      <c r="B59" s="27" t="s">
        <v>58</v>
      </c>
      <c r="C59" s="15">
        <f>C52*Antagelser!C21</f>
        <v>125.80340000000001</v>
      </c>
      <c r="D59" s="15">
        <f>D52*Antagelser!D21</f>
        <v>133.05676880000001</v>
      </c>
      <c r="E59" s="15">
        <f>E52*Antagelser!E21</f>
        <v>138.62610784</v>
      </c>
      <c r="F59" s="15">
        <f>F52*Antagelser!F21</f>
        <v>144.62995636440004</v>
      </c>
      <c r="G59" s="15">
        <f>G52*Antagelser!G21</f>
        <v>148.33077270030003</v>
      </c>
      <c r="H59" s="15">
        <f>H52*Antagelser!H21</f>
        <v>152.76056767743205</v>
      </c>
      <c r="I59" s="15">
        <f>I52*Antagelser!I21</f>
        <v>156.43721397743229</v>
      </c>
      <c r="J59" s="15">
        <f>J52*Antagelser!J21</f>
        <v>159.22725582877126</v>
      </c>
      <c r="K59" s="15">
        <f>K52*Antagelser!K21</f>
        <v>160.97821362750221</v>
      </c>
      <c r="L59" s="26">
        <f>L52*Antagelser!L21</f>
        <v>161.5925469233398</v>
      </c>
    </row>
    <row r="60" spans="2:15">
      <c r="B60" s="27" t="s">
        <v>54</v>
      </c>
      <c r="C60" s="15">
        <f>C52*Antagelser!C22</f>
        <v>148.00399999999999</v>
      </c>
      <c r="D60" s="15">
        <f>D52*Antagelser!D22</f>
        <v>152.29389200000003</v>
      </c>
      <c r="E60" s="15">
        <f>E52*Antagelser!E22</f>
        <v>155.95437132000001</v>
      </c>
      <c r="F60" s="15">
        <f>F52*Antagelser!F22</f>
        <v>157.60956783300006</v>
      </c>
      <c r="G60" s="15">
        <f>G52*Antagelser!G22</f>
        <v>158.21949088032002</v>
      </c>
      <c r="H60" s="15">
        <f>H52*Antagelser!H22</f>
        <v>163.22362025807809</v>
      </c>
      <c r="I60" s="15">
        <f>I52*Antagelser!I22</f>
        <v>171.86060127098199</v>
      </c>
      <c r="J60" s="15">
        <f>J52*Antagelser!J22</f>
        <v>179.99602832817618</v>
      </c>
      <c r="K60" s="15">
        <f>K52*Antagelser!K22</f>
        <v>187.40747258127121</v>
      </c>
      <c r="L60" s="26">
        <f>L52*Antagelser!L22</f>
        <v>193.91105630800774</v>
      </c>
    </row>
    <row r="61" spans="2:15">
      <c r="B61" s="27" t="s">
        <v>12</v>
      </c>
      <c r="C61" s="15">
        <f>C52*Antagelser!C23</f>
        <v>370.01</v>
      </c>
      <c r="D61" s="15">
        <f>D52*Antagelser!D23</f>
        <v>392.75793200000004</v>
      </c>
      <c r="E61" s="15">
        <f>E52*Antagelser!E23</f>
        <v>415.87832351999998</v>
      </c>
      <c r="F61" s="15">
        <f>F52*Antagelser!F23</f>
        <v>435.7440993030001</v>
      </c>
      <c r="G61" s="15">
        <f>G52*Antagelser!G23</f>
        <v>454.88103628092011</v>
      </c>
      <c r="H61" s="15">
        <f>H52*Antagelser!H23</f>
        <v>481.30041870971746</v>
      </c>
      <c r="I61" s="15">
        <f>I52*Antagelser!I23</f>
        <v>502.36175756133196</v>
      </c>
      <c r="J61" s="15">
        <f>J52*Antagelser!J23</f>
        <v>521.52695387394635</v>
      </c>
      <c r="K61" s="15">
        <f>K52*Antagelser!K23</f>
        <v>540.59847859982085</v>
      </c>
      <c r="L61" s="26">
        <f>L52*Antagelser!L23</f>
        <v>559.35881627309925</v>
      </c>
    </row>
    <row r="62" spans="2:15">
      <c r="B62" s="27" t="s">
        <v>55</v>
      </c>
      <c r="C62" s="15">
        <f>C61-'Historiske finansielle tall'!J35</f>
        <v>41.31</v>
      </c>
      <c r="D62" s="15">
        <f>D61-C61</f>
        <v>22.747932000000048</v>
      </c>
      <c r="E62" s="15">
        <f t="shared" ref="E62:G62" si="96">E61-D61</f>
        <v>23.120391519999941</v>
      </c>
      <c r="F62" s="15">
        <f t="shared" si="96"/>
        <v>19.865775783000117</v>
      </c>
      <c r="G62" s="15">
        <f t="shared" si="96"/>
        <v>19.136936977920016</v>
      </c>
      <c r="H62" s="15">
        <f t="shared" ref="H62" si="97">H61-G61</f>
        <v>26.419382428797348</v>
      </c>
      <c r="I62" s="15">
        <f t="shared" ref="I62" si="98">I61-H61</f>
        <v>21.061338851614494</v>
      </c>
      <c r="J62" s="15">
        <f t="shared" ref="J62" si="99">J61-I61</f>
        <v>19.165196312614398</v>
      </c>
      <c r="K62" s="15">
        <f t="shared" ref="K62" si="100">K61-J61</f>
        <v>19.071524725874497</v>
      </c>
      <c r="L62" s="26">
        <f t="shared" ref="L62" si="101">L61-K61</f>
        <v>18.7603376732784</v>
      </c>
    </row>
    <row r="63" spans="2:15" ht="17" thickBot="1">
      <c r="B63" s="38" t="s">
        <v>56</v>
      </c>
      <c r="C63" s="116">
        <f>C58+C59-C60-C62</f>
        <v>59.581252833333366</v>
      </c>
      <c r="D63" s="116">
        <f t="shared" ref="D63:G63" si="102">D58+D59-D60-D62</f>
        <v>116.88699427799992</v>
      </c>
      <c r="E63" s="116">
        <f t="shared" si="102"/>
        <v>148.41650264038009</v>
      </c>
      <c r="F63" s="116">
        <f t="shared" si="102"/>
        <v>179.70210192074202</v>
      </c>
      <c r="G63" s="116">
        <f t="shared" si="102"/>
        <v>208.21050327180606</v>
      </c>
      <c r="H63" s="116">
        <f t="shared" ref="H63" si="103">H58+H59-H60-H62</f>
        <v>218.89801797879306</v>
      </c>
      <c r="I63" s="116">
        <f t="shared" ref="I63" si="104">I58+I59-I60-I62</f>
        <v>236.68222072662672</v>
      </c>
      <c r="J63" s="116">
        <f t="shared" ref="J63" si="105">J58+J59-J60-J62</f>
        <v>248.37162647625354</v>
      </c>
      <c r="K63" s="116">
        <f t="shared" ref="K63" si="106">K58+K59-K60-K62</f>
        <v>254.54528755896968</v>
      </c>
      <c r="L63" s="117">
        <f t="shared" ref="L63" si="107">L58+L59-L60-L62</f>
        <v>258.44688238993155</v>
      </c>
    </row>
    <row r="64" spans="2:15" ht="17" thickBot="1">
      <c r="B64" s="115" t="s">
        <v>57</v>
      </c>
      <c r="C64" s="55">
        <f>C63/C52</f>
        <v>4.0256515251840062E-2</v>
      </c>
      <c r="D64" s="55">
        <f t="shared" ref="D64:G64" si="108">D63/D52</f>
        <v>7.2913393377654248E-2</v>
      </c>
      <c r="E64" s="55">
        <f t="shared" si="108"/>
        <v>8.5649957257217371E-2</v>
      </c>
      <c r="F64" s="55">
        <f t="shared" si="108"/>
        <v>9.691466624315484E-2</v>
      </c>
      <c r="G64" s="55">
        <f t="shared" si="108"/>
        <v>0.10527679092548722</v>
      </c>
      <c r="H64" s="55">
        <f t="shared" ref="H64" si="109">H63/H52</f>
        <v>0.10460523651754286</v>
      </c>
      <c r="I64" s="55">
        <f t="shared" ref="I64" si="110">I63/I52</f>
        <v>0.10741969410178009</v>
      </c>
      <c r="J64" s="55">
        <f t="shared" ref="J64" si="111">J63/J52</f>
        <v>0.10763007964723614</v>
      </c>
      <c r="K64" s="55">
        <f t="shared" ref="K64" si="112">K63/K52</f>
        <v>0.1059431203896606</v>
      </c>
      <c r="L64" s="56">
        <f t="shared" ref="L64" si="113">L63/L52</f>
        <v>0.10395929561847363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74CA-A00D-AA44-8D15-26394631759E}">
  <dimension ref="B2:O64"/>
  <sheetViews>
    <sheetView zoomScale="75" workbookViewId="0">
      <selection activeCell="B35" sqref="B35"/>
    </sheetView>
  </sheetViews>
  <sheetFormatPr baseColWidth="10" defaultRowHeight="16"/>
  <cols>
    <col min="2" max="2" width="33.1640625" bestFit="1" customWidth="1"/>
  </cols>
  <sheetData>
    <row r="2" spans="2:15" ht="19">
      <c r="B2" s="231" t="s">
        <v>249</v>
      </c>
    </row>
    <row r="3" spans="2:15" ht="17" thickBot="1"/>
    <row r="4" spans="2:15">
      <c r="B4" s="20" t="s">
        <v>28</v>
      </c>
      <c r="C4" s="21">
        <v>2023</v>
      </c>
      <c r="D4" s="21">
        <v>2024</v>
      </c>
      <c r="E4" s="21">
        <v>2025</v>
      </c>
      <c r="F4" s="22" t="s">
        <v>39</v>
      </c>
      <c r="G4" s="22" t="s">
        <v>40</v>
      </c>
      <c r="H4" s="22" t="s">
        <v>41</v>
      </c>
      <c r="I4" s="22" t="s">
        <v>42</v>
      </c>
      <c r="J4" s="22" t="s">
        <v>43</v>
      </c>
      <c r="K4" s="22" t="s">
        <v>72</v>
      </c>
      <c r="L4" s="22" t="s">
        <v>135</v>
      </c>
      <c r="M4" s="22" t="s">
        <v>136</v>
      </c>
      <c r="N4" s="22" t="s">
        <v>137</v>
      </c>
      <c r="O4" s="118" t="s">
        <v>138</v>
      </c>
    </row>
    <row r="5" spans="2:15">
      <c r="B5" s="23" t="s">
        <v>27</v>
      </c>
      <c r="C5" s="15">
        <v>697.4</v>
      </c>
      <c r="D5" s="15">
        <v>773.1</v>
      </c>
      <c r="E5" s="15">
        <v>740.5</v>
      </c>
      <c r="F5" s="17">
        <f>E5*(1+Antagelser!C30)</f>
        <v>858.9799999999999</v>
      </c>
      <c r="G5" s="17">
        <f>F5*(1+Antagelser!D30)</f>
        <v>919.10859999999991</v>
      </c>
      <c r="H5" s="17">
        <f>G5*(1+Antagelser!E30)</f>
        <v>974.25511599999993</v>
      </c>
      <c r="I5" s="17">
        <f>H5*(1+Antagelser!F30)</f>
        <v>1022.9678718</v>
      </c>
      <c r="J5" s="17">
        <f>I5*(1+Antagelser!G30)</f>
        <v>1074.1162653900001</v>
      </c>
      <c r="K5" s="17">
        <f>J5*(1+Antagelser!H30)</f>
        <v>1122.4514973325499</v>
      </c>
      <c r="L5" s="17">
        <f>K5*(1+Antagelser!I30)</f>
        <v>1167.3495572258519</v>
      </c>
      <c r="M5" s="17">
        <f>L5*(1+Antagelser!J30)</f>
        <v>1208.2067917287566</v>
      </c>
      <c r="N5" s="17">
        <f>M5*(1+Antagelser!K30)</f>
        <v>1244.4529954806194</v>
      </c>
      <c r="O5" s="24">
        <f>N5*(1+Antagelser!L30)</f>
        <v>1275.5643203676348</v>
      </c>
    </row>
    <row r="6" spans="2:15">
      <c r="B6" s="23" t="s">
        <v>29</v>
      </c>
      <c r="C6" s="12"/>
      <c r="D6" s="12">
        <f>(D5-C5)/C5</f>
        <v>0.10854602810438779</v>
      </c>
      <c r="E6" s="12">
        <f t="shared" ref="E6:J6" si="0">(E5-D5)/D5</f>
        <v>-4.2167895485706923E-2</v>
      </c>
      <c r="F6" s="14">
        <f t="shared" si="0"/>
        <v>0.15999999999999986</v>
      </c>
      <c r="G6" s="14">
        <f t="shared" si="0"/>
        <v>7.0000000000000021E-2</v>
      </c>
      <c r="H6" s="14">
        <f t="shared" si="0"/>
        <v>6.0000000000000026E-2</v>
      </c>
      <c r="I6" s="14">
        <f t="shared" si="0"/>
        <v>5.0000000000000086E-2</v>
      </c>
      <c r="J6" s="14">
        <f t="shared" si="0"/>
        <v>5.0000000000000065E-2</v>
      </c>
      <c r="K6" s="14">
        <f t="shared" ref="K6" si="1">(K5-J5)/J5</f>
        <v>4.499999999999986E-2</v>
      </c>
      <c r="L6" s="14">
        <f t="shared" ref="L6" si="2">(L5-K5)/K5</f>
        <v>3.9999999999999945E-2</v>
      </c>
      <c r="M6" s="14">
        <f t="shared" ref="M6" si="3">(M5-L5)/L5</f>
        <v>3.4999999999999906E-2</v>
      </c>
      <c r="N6" s="14">
        <f t="shared" ref="N6" si="4">(N5-M5)/M5</f>
        <v>3.0000000000000103E-2</v>
      </c>
      <c r="O6" s="25">
        <f t="shared" ref="O6" si="5">(O5-N5)/N5</f>
        <v>2.4999999999999908E-2</v>
      </c>
    </row>
    <row r="7" spans="2:15">
      <c r="B7" s="23" t="s">
        <v>11</v>
      </c>
      <c r="C7" s="12">
        <v>0.39900000000000002</v>
      </c>
      <c r="D7" s="12">
        <v>0.40600000000000003</v>
      </c>
      <c r="E7" s="12">
        <v>0.41699999999999998</v>
      </c>
      <c r="F7" s="14">
        <f>Antagelser!C31</f>
        <v>0.39500000000000002</v>
      </c>
      <c r="G7" s="14">
        <f>Antagelser!D31</f>
        <v>0.4</v>
      </c>
      <c r="H7" s="14">
        <f>Antagelser!E31</f>
        <v>0.4</v>
      </c>
      <c r="I7" s="14">
        <f>Antagelser!F31</f>
        <v>0.40200000000000002</v>
      </c>
      <c r="J7" s="14">
        <f>Antagelser!G31</f>
        <v>0.40200000000000002</v>
      </c>
      <c r="K7" s="14">
        <f>Antagelser!H31</f>
        <v>0.40200000000000002</v>
      </c>
      <c r="L7" s="14">
        <f>Antagelser!I31</f>
        <v>0.40399999999999997</v>
      </c>
      <c r="M7" s="14">
        <f>Antagelser!J31</f>
        <v>0.40500000000000003</v>
      </c>
      <c r="N7" s="14">
        <f>Antagelser!K31</f>
        <v>0.40500000000000003</v>
      </c>
      <c r="O7" s="25">
        <f>Antagelser!L31</f>
        <v>0.40500000000000003</v>
      </c>
    </row>
    <row r="8" spans="2:15">
      <c r="B8" s="23" t="s">
        <v>30</v>
      </c>
      <c r="C8" s="15">
        <f>C5*C7</f>
        <v>278.26260000000002</v>
      </c>
      <c r="D8" s="15">
        <f>D5*D7</f>
        <v>313.87860000000001</v>
      </c>
      <c r="E8" s="15">
        <f t="shared" ref="E8:J8" si="6">E5*E7</f>
        <v>308.7885</v>
      </c>
      <c r="F8" s="17">
        <f t="shared" si="6"/>
        <v>339.2971</v>
      </c>
      <c r="G8" s="17">
        <f t="shared" si="6"/>
        <v>367.64344</v>
      </c>
      <c r="H8" s="17">
        <f t="shared" si="6"/>
        <v>389.70204639999997</v>
      </c>
      <c r="I8" s="17">
        <f t="shared" si="6"/>
        <v>411.23308446360005</v>
      </c>
      <c r="J8" s="17">
        <f t="shared" si="6"/>
        <v>431.79473868678008</v>
      </c>
      <c r="K8" s="17">
        <f t="shared" ref="K8" si="7">K5*K7</f>
        <v>451.22550192768512</v>
      </c>
      <c r="L8" s="17">
        <f t="shared" ref="L8" si="8">L5*L7</f>
        <v>471.60922111924413</v>
      </c>
      <c r="M8" s="17">
        <f t="shared" ref="M8" si="9">M5*M7</f>
        <v>489.32375065014645</v>
      </c>
      <c r="N8" s="17">
        <f t="shared" ref="N8" si="10">N5*N7</f>
        <v>504.0034631696509</v>
      </c>
      <c r="O8" s="24">
        <f t="shared" ref="O8" si="11">O5*O7</f>
        <v>516.60354974889208</v>
      </c>
    </row>
    <row r="9" spans="2:15">
      <c r="B9" s="23" t="s">
        <v>31</v>
      </c>
      <c r="C9" s="15">
        <v>162.9</v>
      </c>
      <c r="D9" s="15">
        <v>183.2</v>
      </c>
      <c r="E9" s="15">
        <v>182.4</v>
      </c>
      <c r="F9" s="17">
        <f>E9*(1+Antagelser!C32)</f>
        <v>199.72800000000001</v>
      </c>
      <c r="G9" s="17">
        <f>F9*(1+Antagelser!D32)</f>
        <v>209.71440000000001</v>
      </c>
      <c r="H9" s="17">
        <f>G9*(1+Antagelser!E32)</f>
        <v>220.20012000000003</v>
      </c>
      <c r="I9" s="17">
        <f>H9*(1+Antagelser!F32)</f>
        <v>232.31112660000002</v>
      </c>
      <c r="J9" s="17">
        <f>I9*(1+Antagelser!G32)</f>
        <v>245.088238563</v>
      </c>
      <c r="K9" s="17">
        <f>J9*(1+Antagelser!H32)</f>
        <v>256.11720929833501</v>
      </c>
      <c r="L9" s="17">
        <f>K9*(1+Antagelser!I32)</f>
        <v>266.87413208886511</v>
      </c>
      <c r="M9" s="17">
        <f>L9*(1+Antagelser!J32)</f>
        <v>277.54909737241974</v>
      </c>
      <c r="N9" s="17">
        <f>M9*(1+Antagelser!K32)</f>
        <v>288.09596307257169</v>
      </c>
      <c r="O9" s="24">
        <f>N9*(1+Antagelser!L32)</f>
        <v>298.17932178011165</v>
      </c>
    </row>
    <row r="10" spans="2:15">
      <c r="B10" s="23" t="s">
        <v>32</v>
      </c>
      <c r="C10" s="15">
        <f>C8-C9</f>
        <v>115.36260000000001</v>
      </c>
      <c r="D10" s="15">
        <f>D8-D9</f>
        <v>130.67860000000002</v>
      </c>
      <c r="E10" s="15">
        <f>E8-E9</f>
        <v>126.38849999999999</v>
      </c>
      <c r="F10" s="15">
        <f t="shared" ref="F10:J10" si="12">F8-F9</f>
        <v>139.56909999999999</v>
      </c>
      <c r="G10" s="15">
        <f t="shared" si="12"/>
        <v>157.92903999999999</v>
      </c>
      <c r="H10" s="15">
        <f t="shared" si="12"/>
        <v>169.50192639999995</v>
      </c>
      <c r="I10" s="15">
        <f t="shared" si="12"/>
        <v>178.92195786360003</v>
      </c>
      <c r="J10" s="15">
        <f t="shared" si="12"/>
        <v>186.70650012378007</v>
      </c>
      <c r="K10" s="15">
        <f t="shared" ref="K10" si="13">K8-K9</f>
        <v>195.1082926293501</v>
      </c>
      <c r="L10" s="15">
        <f t="shared" ref="L10" si="14">L8-L9</f>
        <v>204.73508903037902</v>
      </c>
      <c r="M10" s="15">
        <f t="shared" ref="M10" si="15">M8-M9</f>
        <v>211.77465327772671</v>
      </c>
      <c r="N10" s="15">
        <f t="shared" ref="N10" si="16">N8-N9</f>
        <v>215.90750009707921</v>
      </c>
      <c r="O10" s="26">
        <f t="shared" ref="O10" si="17">O8-O9</f>
        <v>218.42422796878043</v>
      </c>
    </row>
    <row r="11" spans="2:15">
      <c r="B11" s="23" t="s">
        <v>33</v>
      </c>
      <c r="C11" s="12">
        <f>C10/C5</f>
        <v>0.16541812446228851</v>
      </c>
      <c r="D11" s="12">
        <f>D10/D5</f>
        <v>0.16903194929504595</v>
      </c>
      <c r="E11" s="12">
        <f t="shared" ref="E11:J11" si="18">E10/E5</f>
        <v>0.17067994598244429</v>
      </c>
      <c r="F11" s="14">
        <f t="shared" si="18"/>
        <v>0.16248236280239353</v>
      </c>
      <c r="G11" s="14">
        <f t="shared" si="18"/>
        <v>0.17182848686216187</v>
      </c>
      <c r="H11" s="14">
        <f t="shared" si="18"/>
        <v>0.17398104830685843</v>
      </c>
      <c r="I11" s="14">
        <f t="shared" si="18"/>
        <v>0.17490476758451021</v>
      </c>
      <c r="J11" s="14">
        <f t="shared" si="18"/>
        <v>0.17382336171586504</v>
      </c>
      <c r="K11" s="14">
        <f t="shared" ref="K11" si="19">K10/K5</f>
        <v>0.17382336171586499</v>
      </c>
      <c r="L11" s="14">
        <f t="shared" ref="L11" si="20">L10/L5</f>
        <v>0.1753845604883954</v>
      </c>
      <c r="M11" s="14">
        <f t="shared" ref="M11" si="21">M10/M5</f>
        <v>0.17528013807529588</v>
      </c>
      <c r="N11" s="14">
        <f t="shared" ref="N11" si="22">N10/N5</f>
        <v>0.17349590613801666</v>
      </c>
      <c r="O11" s="25">
        <f t="shared" ref="O11" si="23">O10/O5</f>
        <v>0.17123732961253388</v>
      </c>
    </row>
    <row r="12" spans="2:15">
      <c r="B12" s="23"/>
      <c r="C12" s="15"/>
      <c r="D12" s="15"/>
      <c r="E12" s="15"/>
      <c r="F12" s="17"/>
      <c r="G12" s="17"/>
      <c r="H12" s="17"/>
      <c r="I12" s="17"/>
      <c r="J12" s="17"/>
      <c r="O12" s="37"/>
    </row>
    <row r="13" spans="2:15">
      <c r="B13" s="27" t="s">
        <v>34</v>
      </c>
      <c r="C13" s="18"/>
      <c r="D13" s="15"/>
      <c r="E13" s="15"/>
      <c r="F13" s="17"/>
      <c r="G13" s="17"/>
      <c r="H13" s="17"/>
      <c r="I13" s="17"/>
      <c r="J13" s="17"/>
      <c r="O13" s="37"/>
    </row>
    <row r="14" spans="2:15">
      <c r="B14" s="23" t="s">
        <v>27</v>
      </c>
      <c r="C14" s="15">
        <v>270.10000000000002</v>
      </c>
      <c r="D14" s="15">
        <v>265.8</v>
      </c>
      <c r="E14" s="15">
        <v>218.2</v>
      </c>
      <c r="F14" s="17">
        <f>E14*(1+Antagelser!C35)</f>
        <v>200.744</v>
      </c>
      <c r="G14" s="17">
        <f>F14*(1+Antagelser!D35)</f>
        <v>210.78120000000001</v>
      </c>
      <c r="H14" s="17">
        <f>G14*(1+Antagelser!E35)</f>
        <v>227.64369600000003</v>
      </c>
      <c r="I14" s="17">
        <f>H14*(1+Antagelser!F35)</f>
        <v>243.57875472000006</v>
      </c>
      <c r="J14" s="17">
        <f>I14*(1+Antagelser!G35)</f>
        <v>260.62926755040007</v>
      </c>
      <c r="K14" s="17">
        <f>J14*(1+Antagelser!H35)</f>
        <v>272.35758459016807</v>
      </c>
      <c r="L14" s="17">
        <f>K14*(1+Antagelser!I35)</f>
        <v>284.61367589672562</v>
      </c>
      <c r="M14" s="17">
        <f>L14*(1+Antagelser!J35)</f>
        <v>295.99822293259467</v>
      </c>
      <c r="N14" s="17">
        <f>M14*(1+Antagelser!K35)</f>
        <v>306.35816073523546</v>
      </c>
      <c r="O14" s="24">
        <f>N14*(1+Antagelser!L35)</f>
        <v>315.54890555729253</v>
      </c>
    </row>
    <row r="15" spans="2:15">
      <c r="B15" s="23" t="s">
        <v>29</v>
      </c>
      <c r="C15" s="12"/>
      <c r="D15" s="12">
        <f>(D14-C14)/C14</f>
        <v>-1.5920029618659796E-2</v>
      </c>
      <c r="E15" s="12">
        <f t="shared" ref="E15:J15" si="24">(E14-D14)/D14</f>
        <v>-0.17908201655379993</v>
      </c>
      <c r="F15" s="14">
        <f t="shared" si="24"/>
        <v>-7.999999999999996E-2</v>
      </c>
      <c r="G15" s="14">
        <f t="shared" si="24"/>
        <v>5.0000000000000065E-2</v>
      </c>
      <c r="H15" s="14">
        <f t="shared" si="24"/>
        <v>8.0000000000000099E-2</v>
      </c>
      <c r="I15" s="14">
        <f t="shared" si="24"/>
        <v>7.0000000000000118E-2</v>
      </c>
      <c r="J15" s="14">
        <f t="shared" si="24"/>
        <v>7.0000000000000021E-2</v>
      </c>
      <c r="K15" s="14">
        <f t="shared" ref="K15" si="25">(K14-J14)/J14</f>
        <v>4.4999999999999991E-2</v>
      </c>
      <c r="L15" s="14">
        <f t="shared" ref="L15" si="26">(L14-K14)/K14</f>
        <v>4.499999999999995E-2</v>
      </c>
      <c r="M15" s="14">
        <f t="shared" ref="M15" si="27">(M14-L14)/L14</f>
        <v>4.0000000000000077E-2</v>
      </c>
      <c r="N15" s="14">
        <f t="shared" ref="N15" si="28">(N14-M14)/M14</f>
        <v>3.4999999999999906E-2</v>
      </c>
      <c r="O15" s="25">
        <f t="shared" ref="O15" si="29">(O14-N14)/N14</f>
        <v>3.000000000000002E-2</v>
      </c>
    </row>
    <row r="16" spans="2:15">
      <c r="B16" s="23" t="s">
        <v>11</v>
      </c>
      <c r="C16" s="12">
        <v>0.52200000000000002</v>
      </c>
      <c r="D16" s="12">
        <v>0.52500000000000002</v>
      </c>
      <c r="E16" s="12">
        <v>0.47699999999999998</v>
      </c>
      <c r="F16" s="14">
        <f>Antagelser!C36</f>
        <v>0.45</v>
      </c>
      <c r="G16" s="14">
        <f>Antagelser!D36</f>
        <v>0.47</v>
      </c>
      <c r="H16" s="14">
        <f>Antagelser!E36</f>
        <v>0.48499999999999999</v>
      </c>
      <c r="I16" s="14">
        <f>Antagelser!F36</f>
        <v>0.495</v>
      </c>
      <c r="J16" s="14">
        <f>Antagelser!G36</f>
        <v>0.5</v>
      </c>
      <c r="K16" s="14">
        <f>Antagelser!H36</f>
        <v>0.505</v>
      </c>
      <c r="L16" s="14">
        <f>Antagelser!I36</f>
        <v>0.51</v>
      </c>
      <c r="M16" s="14">
        <f>Antagelser!J36</f>
        <v>0.51300000000000001</v>
      </c>
      <c r="N16" s="14">
        <f>Antagelser!K36</f>
        <v>0.51500000000000001</v>
      </c>
      <c r="O16" s="25">
        <f>Antagelser!L36</f>
        <v>0.51500000000000001</v>
      </c>
    </row>
    <row r="17" spans="2:15">
      <c r="B17" s="23" t="s">
        <v>30</v>
      </c>
      <c r="C17" s="15">
        <f>C16*C14</f>
        <v>140.99220000000003</v>
      </c>
      <c r="D17" s="15">
        <f t="shared" ref="D17:E17" si="30">D16*D14</f>
        <v>139.54500000000002</v>
      </c>
      <c r="E17" s="15">
        <f t="shared" si="30"/>
        <v>104.08139999999999</v>
      </c>
      <c r="F17" s="17">
        <f>F16*F14</f>
        <v>90.334800000000001</v>
      </c>
      <c r="G17" s="17">
        <f t="shared" ref="G17:J17" si="31">G16*G14</f>
        <v>99.067164000000005</v>
      </c>
      <c r="H17" s="17">
        <f t="shared" si="31"/>
        <v>110.40719256000001</v>
      </c>
      <c r="I17" s="17">
        <f t="shared" si="31"/>
        <v>120.57148358640003</v>
      </c>
      <c r="J17" s="17">
        <f t="shared" si="31"/>
        <v>130.31463377520004</v>
      </c>
      <c r="K17" s="17">
        <f t="shared" ref="K17" si="32">K16*K14</f>
        <v>137.54058021803488</v>
      </c>
      <c r="L17" s="17">
        <f t="shared" ref="L17" si="33">L16*L14</f>
        <v>145.15297470733006</v>
      </c>
      <c r="M17" s="17">
        <f t="shared" ref="M17" si="34">M16*M14</f>
        <v>151.84708836442107</v>
      </c>
      <c r="N17" s="17">
        <f t="shared" ref="N17" si="35">N16*N14</f>
        <v>157.77445277864626</v>
      </c>
      <c r="O17" s="24">
        <f t="shared" ref="O17" si="36">O16*O14</f>
        <v>162.50768636200564</v>
      </c>
    </row>
    <row r="18" spans="2:15">
      <c r="B18" s="23" t="s">
        <v>31</v>
      </c>
      <c r="C18" s="15">
        <v>79.5</v>
      </c>
      <c r="D18" s="15">
        <v>79.400000000000006</v>
      </c>
      <c r="E18" s="15">
        <v>80.599999999999994</v>
      </c>
      <c r="F18" s="17">
        <f>E18*(1+Antagelser!C37)</f>
        <v>76.569999999999993</v>
      </c>
      <c r="G18" s="17">
        <f>F18*(1+Antagelser!D37)</f>
        <v>78.867099999999994</v>
      </c>
      <c r="H18" s="17">
        <f>G18*(1+Antagelser!E37)</f>
        <v>82.81045499999999</v>
      </c>
      <c r="I18" s="17">
        <f>H18*(1+Antagelser!F37)</f>
        <v>86.950977749999993</v>
      </c>
      <c r="J18" s="17">
        <f>I18*(1+Antagelser!G37)</f>
        <v>91.29852663749999</v>
      </c>
      <c r="K18" s="17">
        <f>J18*(1+Antagelser!H37)</f>
        <v>94.037482436624998</v>
      </c>
      <c r="L18" s="17">
        <f>K18*(1+Antagelser!I37)</f>
        <v>97.046681874596999</v>
      </c>
      <c r="M18" s="17">
        <f>L18*(1+Antagelser!J37)</f>
        <v>100.1521756945841</v>
      </c>
      <c r="N18" s="17">
        <f>M18*(1+Antagelser!K37)</f>
        <v>103.15674096542163</v>
      </c>
      <c r="O18" s="24">
        <f>N18*(1+Antagelser!L37)</f>
        <v>106.04512971245344</v>
      </c>
    </row>
    <row r="19" spans="2:15">
      <c r="B19" s="23" t="s">
        <v>32</v>
      </c>
      <c r="C19" s="17">
        <f>C17-C18</f>
        <v>61.492200000000025</v>
      </c>
      <c r="D19" s="17">
        <f t="shared" ref="D19:E19" si="37">D17-D18</f>
        <v>60.14500000000001</v>
      </c>
      <c r="E19" s="17">
        <f t="shared" si="37"/>
        <v>23.481399999999994</v>
      </c>
      <c r="F19" s="17">
        <f>F17-F18</f>
        <v>13.764800000000008</v>
      </c>
      <c r="G19" s="17">
        <f>G17-G18</f>
        <v>20.200064000000012</v>
      </c>
      <c r="H19" s="17">
        <f t="shared" ref="H19:I19" si="38">H17-H18</f>
        <v>27.596737560000022</v>
      </c>
      <c r="I19" s="17">
        <f t="shared" si="38"/>
        <v>33.620505836400042</v>
      </c>
      <c r="J19" s="17">
        <f>J17-J18</f>
        <v>39.016107137700047</v>
      </c>
      <c r="K19" s="17">
        <f t="shared" ref="K19:O19" si="39">K17-K18</f>
        <v>43.503097781409878</v>
      </c>
      <c r="L19" s="17">
        <f t="shared" si="39"/>
        <v>48.106292832733061</v>
      </c>
      <c r="M19" s="17">
        <f t="shared" si="39"/>
        <v>51.694912669836967</v>
      </c>
      <c r="N19" s="17">
        <f t="shared" si="39"/>
        <v>54.617711813224631</v>
      </c>
      <c r="O19" s="24">
        <f t="shared" si="39"/>
        <v>56.462556649552198</v>
      </c>
    </row>
    <row r="20" spans="2:15">
      <c r="B20" s="23" t="s">
        <v>33</v>
      </c>
      <c r="C20" s="12">
        <f>C19/C14</f>
        <v>0.22766456867826737</v>
      </c>
      <c r="D20" s="12">
        <f t="shared" ref="D20:E20" si="40">D19/D14</f>
        <v>0.2262791572610986</v>
      </c>
      <c r="E20" s="12">
        <f t="shared" si="40"/>
        <v>0.10761411549037578</v>
      </c>
      <c r="F20" s="14">
        <f>F19/F14</f>
        <v>6.856892360419245E-2</v>
      </c>
      <c r="G20" s="14">
        <f t="shared" ref="G20:J20" si="41">G19/G14</f>
        <v>9.5834277440303081E-2</v>
      </c>
      <c r="H20" s="14">
        <f t="shared" si="41"/>
        <v>0.12122776973362802</v>
      </c>
      <c r="I20" s="14">
        <f t="shared" si="41"/>
        <v>0.13802725067318644</v>
      </c>
      <c r="J20" s="14">
        <f t="shared" si="41"/>
        <v>0.14969963851107079</v>
      </c>
      <c r="K20" s="14">
        <f t="shared" ref="K20" si="42">K19/K14</f>
        <v>0.15972787336497885</v>
      </c>
      <c r="L20" s="14">
        <f t="shared" ref="L20" si="43">L19/L14</f>
        <v>0.16902312470110825</v>
      </c>
      <c r="M20" s="14">
        <f t="shared" ref="M20" si="44">M19/M14</f>
        <v>0.17464602374186902</v>
      </c>
      <c r="N20" s="14">
        <f t="shared" ref="N20" si="45">N19/N14</f>
        <v>0.17828058401364738</v>
      </c>
      <c r="O20" s="25">
        <f t="shared" ref="O20" si="46">O19/O14</f>
        <v>0.1789344081223587</v>
      </c>
    </row>
    <row r="21" spans="2:15">
      <c r="B21" s="23"/>
      <c r="C21" s="15"/>
      <c r="D21" s="15"/>
      <c r="E21" s="15"/>
      <c r="F21" s="17"/>
      <c r="G21" s="17"/>
      <c r="H21" s="17"/>
      <c r="I21" s="17"/>
      <c r="J21" s="17"/>
      <c r="O21" s="37"/>
    </row>
    <row r="22" spans="2:15">
      <c r="B22" s="27" t="s">
        <v>35</v>
      </c>
      <c r="C22" s="18"/>
      <c r="D22" s="15"/>
      <c r="E22" s="15"/>
      <c r="F22" s="17"/>
      <c r="G22" s="17"/>
      <c r="H22" s="17"/>
      <c r="I22" s="17"/>
      <c r="J22" s="17"/>
      <c r="O22" s="37"/>
    </row>
    <row r="23" spans="2:15">
      <c r="B23" s="23" t="s">
        <v>27</v>
      </c>
      <c r="C23" s="15">
        <v>319.60000000000002</v>
      </c>
      <c r="D23" s="15">
        <v>310.89999999999998</v>
      </c>
      <c r="E23" s="15">
        <v>328</v>
      </c>
      <c r="F23" s="17">
        <f>E23*(1+Antagelser!C40)</f>
        <v>344.40000000000003</v>
      </c>
      <c r="G23" s="17">
        <f>F23*(1+Antagelser!D40)</f>
        <v>361.62000000000006</v>
      </c>
      <c r="H23" s="17">
        <f>G23*(1+Antagelser!E40)</f>
        <v>379.70100000000008</v>
      </c>
      <c r="I23" s="17">
        <f>H23*(1+Antagelser!F40)</f>
        <v>396.78754500000008</v>
      </c>
      <c r="J23" s="17">
        <f>I23*(1+Antagelser!G40)</f>
        <v>412.65904680000011</v>
      </c>
      <c r="K23" s="17">
        <f>J23*(1+Antagelser!H40)</f>
        <v>429.16540867200013</v>
      </c>
      <c r="L23" s="17">
        <f>K23*(1+Antagelser!I40)</f>
        <v>446.33202501888013</v>
      </c>
      <c r="M23" s="17">
        <f>L23*(1+Antagelser!J40)</f>
        <v>461.9536458945409</v>
      </c>
      <c r="N23" s="17">
        <f>M23*(1+Antagelser!K40)</f>
        <v>475.81225527137713</v>
      </c>
      <c r="O23" s="24">
        <f>N23*(1+Antagelser!L40)</f>
        <v>487.70756165316152</v>
      </c>
    </row>
    <row r="24" spans="2:15">
      <c r="B24" s="23" t="s">
        <v>29</v>
      </c>
      <c r="C24" s="12"/>
      <c r="D24" s="12">
        <f>(D23-C23)/C23</f>
        <v>-2.7221526908635937E-2</v>
      </c>
      <c r="E24" s="12">
        <f t="shared" ref="E24:J24" si="47">(E23-D23)/D23</f>
        <v>5.500160823415897E-2</v>
      </c>
      <c r="F24" s="14">
        <f t="shared" si="47"/>
        <v>5.0000000000000107E-2</v>
      </c>
      <c r="G24" s="14">
        <f t="shared" si="47"/>
        <v>5.0000000000000072E-2</v>
      </c>
      <c r="H24" s="14">
        <f t="shared" si="47"/>
        <v>5.0000000000000037E-2</v>
      </c>
      <c r="I24" s="14">
        <f t="shared" si="47"/>
        <v>4.4999999999999991E-2</v>
      </c>
      <c r="J24" s="14">
        <f t="shared" si="47"/>
        <v>4.0000000000000077E-2</v>
      </c>
      <c r="K24" s="14">
        <f t="shared" ref="K24" si="48">(K23-J23)/J23</f>
        <v>4.0000000000000022E-2</v>
      </c>
      <c r="L24" s="14">
        <f t="shared" ref="L24" si="49">(L23-K23)/K23</f>
        <v>0.04</v>
      </c>
      <c r="M24" s="14">
        <f t="shared" ref="M24" si="50">(M23-L23)/L23</f>
        <v>3.4999999999999913E-2</v>
      </c>
      <c r="N24" s="14">
        <f t="shared" ref="N24" si="51">(N23-M23)/M23</f>
        <v>3.0000000000000002E-2</v>
      </c>
      <c r="O24" s="25">
        <f t="shared" ref="O24" si="52">(O23-N23)/N23</f>
        <v>2.4999999999999929E-2</v>
      </c>
    </row>
    <row r="25" spans="2:15">
      <c r="B25" s="23" t="s">
        <v>11</v>
      </c>
      <c r="C25" s="12">
        <v>0.40699999999999997</v>
      </c>
      <c r="D25" s="12">
        <v>0.42899999999999999</v>
      </c>
      <c r="E25" s="12">
        <v>0.46899999999999997</v>
      </c>
      <c r="F25" s="14">
        <f>Antagelser!C41</f>
        <v>0.42499999999999999</v>
      </c>
      <c r="G25" s="14">
        <f>Antagelser!D41</f>
        <v>0.435</v>
      </c>
      <c r="H25" s="14">
        <f>Antagelser!E41</f>
        <v>0.435</v>
      </c>
      <c r="I25" s="14">
        <f>Antagelser!F41</f>
        <v>0.44</v>
      </c>
      <c r="J25" s="14">
        <f>Antagelser!G41</f>
        <v>0.44500000000000001</v>
      </c>
      <c r="K25" s="14">
        <f>Antagelser!H41</f>
        <v>0.44799999999999995</v>
      </c>
      <c r="L25" s="14">
        <f>Antagelser!I41</f>
        <v>0.45</v>
      </c>
      <c r="M25" s="14">
        <f>Antagelser!J41</f>
        <v>0.45200000000000001</v>
      </c>
      <c r="N25" s="14">
        <f>Antagelser!K41</f>
        <v>0.45299999999999996</v>
      </c>
      <c r="O25" s="25">
        <f>Antagelser!L41</f>
        <v>0.45500000000000002</v>
      </c>
    </row>
    <row r="26" spans="2:15">
      <c r="B26" s="23" t="s">
        <v>30</v>
      </c>
      <c r="C26" s="15">
        <f>C23*C25</f>
        <v>130.0772</v>
      </c>
      <c r="D26" s="15">
        <f t="shared" ref="D26:J26" si="53">D23*D25</f>
        <v>133.37609999999998</v>
      </c>
      <c r="E26" s="15">
        <f t="shared" si="53"/>
        <v>153.83199999999999</v>
      </c>
      <c r="F26" s="17">
        <f t="shared" si="53"/>
        <v>146.37</v>
      </c>
      <c r="G26" s="17">
        <f t="shared" si="53"/>
        <v>157.30470000000003</v>
      </c>
      <c r="H26" s="17">
        <f t="shared" si="53"/>
        <v>165.16993500000004</v>
      </c>
      <c r="I26" s="17">
        <f t="shared" si="53"/>
        <v>174.58651980000005</v>
      </c>
      <c r="J26" s="17">
        <f t="shared" si="53"/>
        <v>183.63327582600004</v>
      </c>
      <c r="K26" s="17">
        <f t="shared" ref="K26" si="54">K23*K25</f>
        <v>192.26610308505605</v>
      </c>
      <c r="L26" s="17">
        <f t="shared" ref="L26" si="55">L23*L25</f>
        <v>200.84941125849608</v>
      </c>
      <c r="M26" s="17">
        <f t="shared" ref="M26" si="56">M23*M25</f>
        <v>208.80304794433249</v>
      </c>
      <c r="N26" s="17">
        <f t="shared" ref="N26" si="57">N23*N25</f>
        <v>215.54295163793381</v>
      </c>
      <c r="O26" s="24">
        <f t="shared" ref="O26" si="58">O23*O25</f>
        <v>221.9069405521885</v>
      </c>
    </row>
    <row r="27" spans="2:15">
      <c r="B27" s="23" t="s">
        <v>31</v>
      </c>
      <c r="C27" s="15">
        <v>122.4</v>
      </c>
      <c r="D27" s="15">
        <v>112.6</v>
      </c>
      <c r="E27" s="15">
        <v>110.3</v>
      </c>
      <c r="F27" s="17">
        <f>E27*(1+Antagelser!C42)</f>
        <v>116.91800000000001</v>
      </c>
      <c r="G27" s="17">
        <f>F27*(1+Antagelser!D42)</f>
        <v>122.76390000000001</v>
      </c>
      <c r="H27" s="17">
        <f>G27*(1+Antagelser!E42)</f>
        <v>128.902095</v>
      </c>
      <c r="I27" s="17">
        <f>H27*(1+Antagelser!F42)</f>
        <v>135.34719975000002</v>
      </c>
      <c r="J27" s="17">
        <f>I27*(1+Antagelser!G42)</f>
        <v>142.11455973750003</v>
      </c>
      <c r="K27" s="17">
        <f>J27*(1+Antagelser!H42)</f>
        <v>147.08856932831253</v>
      </c>
      <c r="L27" s="17">
        <f>K27*(1+Antagelser!I42)</f>
        <v>152.23666925480345</v>
      </c>
      <c r="M27" s="17">
        <f>L27*(1+Antagelser!J42)</f>
        <v>157.26047934021196</v>
      </c>
      <c r="N27" s="17">
        <f>M27*(1+Antagelser!K42)</f>
        <v>161.97829372041832</v>
      </c>
      <c r="O27" s="24">
        <f>N27*(1+Antagelser!L42)</f>
        <v>166.51368594459004</v>
      </c>
    </row>
    <row r="28" spans="2:15">
      <c r="B28" s="23" t="s">
        <v>32</v>
      </c>
      <c r="C28" s="17">
        <f t="shared" ref="C28:E28" si="59">C26-C27</f>
        <v>7.6771999999999991</v>
      </c>
      <c r="D28" s="17">
        <f t="shared" si="59"/>
        <v>20.776099999999985</v>
      </c>
      <c r="E28" s="17">
        <f t="shared" si="59"/>
        <v>43.531999999999996</v>
      </c>
      <c r="F28" s="17">
        <f>F26-F27</f>
        <v>29.451999999999998</v>
      </c>
      <c r="G28" s="17">
        <f t="shared" ref="G28:I28" si="60">G26-G27</f>
        <v>34.540800000000019</v>
      </c>
      <c r="H28" s="17">
        <f t="shared" si="60"/>
        <v>36.267840000000035</v>
      </c>
      <c r="I28" s="17">
        <f t="shared" si="60"/>
        <v>39.239320050000032</v>
      </c>
      <c r="J28" s="17">
        <f>J26-J27</f>
        <v>41.518716088500014</v>
      </c>
      <c r="K28" s="17">
        <f t="shared" ref="K28:O28" si="61">K26-K27</f>
        <v>45.177533756743514</v>
      </c>
      <c r="L28" s="17">
        <f t="shared" si="61"/>
        <v>48.612742003692631</v>
      </c>
      <c r="M28" s="17">
        <f t="shared" si="61"/>
        <v>51.542568604120532</v>
      </c>
      <c r="N28" s="17">
        <f t="shared" si="61"/>
        <v>53.56465791751549</v>
      </c>
      <c r="O28" s="24">
        <f t="shared" si="61"/>
        <v>55.393254607598465</v>
      </c>
    </row>
    <row r="29" spans="2:15">
      <c r="B29" s="23" t="s">
        <v>33</v>
      </c>
      <c r="C29" s="12">
        <f>C28/C23</f>
        <v>2.4021276595744677E-2</v>
      </c>
      <c r="D29" s="12">
        <f t="shared" ref="D29:J29" si="62">D28/D23</f>
        <v>6.6825667417175896E-2</v>
      </c>
      <c r="E29" s="12">
        <f t="shared" si="62"/>
        <v>0.13271951219512193</v>
      </c>
      <c r="F29" s="14">
        <f>F28/F23</f>
        <v>8.5516840882694525E-2</v>
      </c>
      <c r="G29" s="14">
        <f t="shared" si="62"/>
        <v>9.5516840882694576E-2</v>
      </c>
      <c r="H29" s="14">
        <f t="shared" si="62"/>
        <v>9.5516840882694617E-2</v>
      </c>
      <c r="I29" s="14">
        <f t="shared" si="62"/>
        <v>9.8892519547205099E-2</v>
      </c>
      <c r="J29" s="14">
        <f t="shared" si="62"/>
        <v>0.10061263992746663</v>
      </c>
      <c r="K29" s="14">
        <f t="shared" ref="K29" si="63">K28/K23</f>
        <v>0.10526834838935381</v>
      </c>
      <c r="L29" s="14">
        <f t="shared" ref="L29" si="64">L28/L23</f>
        <v>0.10891609671440511</v>
      </c>
      <c r="M29" s="14">
        <f t="shared" ref="M29" si="65">M28/M23</f>
        <v>0.11157519604442553</v>
      </c>
      <c r="N29" s="14">
        <f t="shared" ref="N29" si="66">N28/N23</f>
        <v>0.11257519604442545</v>
      </c>
      <c r="O29" s="25">
        <f t="shared" ref="O29" si="67">O28/O23</f>
        <v>0.11357883076455554</v>
      </c>
    </row>
    <row r="30" spans="2:15">
      <c r="B30" s="23"/>
      <c r="C30" s="15"/>
      <c r="D30" s="15"/>
      <c r="E30" s="15"/>
      <c r="F30" s="17"/>
      <c r="G30" s="17"/>
      <c r="H30" s="17"/>
      <c r="I30" s="17"/>
      <c r="J30" s="17"/>
      <c r="O30" s="37"/>
    </row>
    <row r="31" spans="2:15">
      <c r="B31" s="27" t="s">
        <v>36</v>
      </c>
      <c r="C31" s="18"/>
      <c r="D31" s="15"/>
      <c r="E31" s="15"/>
      <c r="F31" s="17"/>
      <c r="G31" s="17"/>
      <c r="H31" s="17"/>
      <c r="I31" s="17"/>
      <c r="J31" s="17"/>
      <c r="O31" s="37"/>
    </row>
    <row r="32" spans="2:15">
      <c r="B32" s="23" t="s">
        <v>27</v>
      </c>
      <c r="C32" s="15">
        <v>0.8</v>
      </c>
      <c r="D32" s="15">
        <v>7.4</v>
      </c>
      <c r="E32" s="15">
        <v>32.299999999999997</v>
      </c>
      <c r="F32" s="17">
        <v>48</v>
      </c>
      <c r="G32" s="17">
        <f>60*0.85</f>
        <v>51</v>
      </c>
      <c r="H32" s="17">
        <f>75*0.85</f>
        <v>63.75</v>
      </c>
      <c r="I32" s="17">
        <f>90*0.85</f>
        <v>76.5</v>
      </c>
      <c r="J32" s="17">
        <f>105*0.85</f>
        <v>89.25</v>
      </c>
      <c r="K32" s="17">
        <f>'Forecast Base'!K32*0.85</f>
        <v>100.3</v>
      </c>
      <c r="L32" s="17">
        <f>'Forecast Base'!L32*0.85</f>
        <v>110.5</v>
      </c>
      <c r="M32" s="17">
        <f>'Forecast Base'!M32*0.85</f>
        <v>119.85</v>
      </c>
      <c r="N32" s="17">
        <f>'Forecast Base'!N32*0.85</f>
        <v>128.35</v>
      </c>
      <c r="O32" s="17">
        <f>'Forecast Base'!O32*0.85</f>
        <v>136</v>
      </c>
    </row>
    <row r="33" spans="2:15">
      <c r="B33" s="23" t="s">
        <v>29</v>
      </c>
      <c r="C33" s="12"/>
      <c r="D33" s="12">
        <f>(D32-C32)/C32</f>
        <v>8.25</v>
      </c>
      <c r="E33" s="12">
        <f t="shared" ref="E33:I33" si="68">(E32-D32)/D32</f>
        <v>3.3648648648648645</v>
      </c>
      <c r="F33" s="14">
        <f t="shared" si="68"/>
        <v>0.48606811145510848</v>
      </c>
      <c r="G33" s="14">
        <f t="shared" si="68"/>
        <v>6.25E-2</v>
      </c>
      <c r="H33" s="14">
        <f t="shared" si="68"/>
        <v>0.25</v>
      </c>
      <c r="I33" s="14">
        <f t="shared" si="68"/>
        <v>0.2</v>
      </c>
      <c r="J33" s="14">
        <f>(J32-I32)/I32</f>
        <v>0.16666666666666666</v>
      </c>
      <c r="K33" s="14">
        <f t="shared" ref="K33:O33" si="69">(K32-J32)/J32</f>
        <v>0.12380952380952377</v>
      </c>
      <c r="L33" s="14">
        <f t="shared" si="69"/>
        <v>0.10169491525423732</v>
      </c>
      <c r="M33" s="14">
        <f t="shared" si="69"/>
        <v>8.4615384615384565E-2</v>
      </c>
      <c r="N33" s="14">
        <f t="shared" si="69"/>
        <v>7.0921985815602842E-2</v>
      </c>
      <c r="O33" s="25">
        <f t="shared" si="69"/>
        <v>5.9602649006622564E-2</v>
      </c>
    </row>
    <row r="34" spans="2:15">
      <c r="B34" s="23" t="s">
        <v>11</v>
      </c>
      <c r="C34" s="12">
        <v>-1.194</v>
      </c>
      <c r="D34" s="12">
        <v>0.501</v>
      </c>
      <c r="E34" s="12">
        <v>0.59399999999999997</v>
      </c>
      <c r="F34" s="14">
        <v>0.6</v>
      </c>
      <c r="G34" s="14">
        <v>0.6</v>
      </c>
      <c r="H34" s="14">
        <v>0.6</v>
      </c>
      <c r="I34" s="14">
        <v>0.6</v>
      </c>
      <c r="J34" s="14">
        <v>0.6</v>
      </c>
      <c r="K34" s="14">
        <v>0.6</v>
      </c>
      <c r="L34" s="14">
        <v>0.6</v>
      </c>
      <c r="M34" s="14">
        <v>0.6</v>
      </c>
      <c r="N34" s="14">
        <v>0.6</v>
      </c>
      <c r="O34" s="14">
        <v>0.6</v>
      </c>
    </row>
    <row r="35" spans="2:15">
      <c r="B35" s="23" t="s">
        <v>30</v>
      </c>
      <c r="C35" s="15">
        <f t="shared" ref="C35:D35" si="70">C34*C32</f>
        <v>-0.95520000000000005</v>
      </c>
      <c r="D35" s="15">
        <f t="shared" si="70"/>
        <v>3.7074000000000003</v>
      </c>
      <c r="E35" s="15">
        <f>E34*E32</f>
        <v>19.186199999999996</v>
      </c>
      <c r="F35" s="17">
        <f t="shared" ref="F35:J35" si="71">F34*F32</f>
        <v>28.799999999999997</v>
      </c>
      <c r="G35" s="17">
        <f t="shared" si="71"/>
        <v>30.599999999999998</v>
      </c>
      <c r="H35" s="17">
        <f t="shared" si="71"/>
        <v>38.25</v>
      </c>
      <c r="I35" s="17">
        <f t="shared" si="71"/>
        <v>45.9</v>
      </c>
      <c r="J35" s="17">
        <f t="shared" si="71"/>
        <v>53.55</v>
      </c>
      <c r="K35" s="17">
        <f>K34*K32</f>
        <v>60.179999999999993</v>
      </c>
      <c r="L35" s="17">
        <f t="shared" ref="L35" si="72">L34*L32</f>
        <v>66.3</v>
      </c>
      <c r="M35" s="17">
        <f t="shared" ref="M35" si="73">M34*M32</f>
        <v>71.91</v>
      </c>
      <c r="N35" s="17">
        <f t="shared" ref="N35" si="74">N34*N32</f>
        <v>77.009999999999991</v>
      </c>
      <c r="O35" s="24">
        <f t="shared" ref="O35" si="75">O34*O32</f>
        <v>81.599999999999994</v>
      </c>
    </row>
    <row r="36" spans="2:15">
      <c r="B36" s="23" t="s">
        <v>31</v>
      </c>
      <c r="C36" s="15">
        <v>7.2</v>
      </c>
      <c r="D36" s="15">
        <v>11.1</v>
      </c>
      <c r="E36" s="15">
        <v>23.9</v>
      </c>
      <c r="F36" s="17">
        <v>29</v>
      </c>
      <c r="G36" s="17">
        <f>34*0.95</f>
        <v>32.299999999999997</v>
      </c>
      <c r="H36" s="17">
        <f>40*0.95</f>
        <v>38</v>
      </c>
      <c r="I36" s="17">
        <f>48*0.95</f>
        <v>45.599999999999994</v>
      </c>
      <c r="J36" s="17">
        <f>52*0.95</f>
        <v>49.4</v>
      </c>
      <c r="K36" s="17">
        <f>'Forecast Base'!K36*0.95</f>
        <v>56.05</v>
      </c>
      <c r="L36" s="17">
        <f>'Forecast Base'!L36*0.95</f>
        <v>61.75</v>
      </c>
      <c r="M36" s="17">
        <f>'Forecast Base'!M36*0.95</f>
        <v>67.45</v>
      </c>
      <c r="N36" s="17">
        <f>'Forecast Base'!N36*0.95</f>
        <v>73.149999999999991</v>
      </c>
      <c r="O36" s="17">
        <f>'Forecast Base'!O36*0.95</f>
        <v>77.899999999999991</v>
      </c>
    </row>
    <row r="37" spans="2:15">
      <c r="B37" s="23" t="s">
        <v>1</v>
      </c>
      <c r="C37" s="17">
        <f t="shared" ref="C37:I37" si="76">C35-C36</f>
        <v>-8.1552000000000007</v>
      </c>
      <c r="D37" s="17">
        <f t="shared" si="76"/>
        <v>-7.3925999999999998</v>
      </c>
      <c r="E37" s="17">
        <f t="shared" si="76"/>
        <v>-4.7138000000000027</v>
      </c>
      <c r="F37" s="17">
        <f t="shared" si="76"/>
        <v>-0.20000000000000284</v>
      </c>
      <c r="G37" s="17">
        <f t="shared" si="76"/>
        <v>-1.6999999999999993</v>
      </c>
      <c r="H37" s="17">
        <f>H35-H36</f>
        <v>0.25</v>
      </c>
      <c r="I37" s="17">
        <f t="shared" si="76"/>
        <v>0.30000000000000426</v>
      </c>
      <c r="J37" s="17">
        <f>J35-J36</f>
        <v>4.1499999999999986</v>
      </c>
      <c r="K37" s="17">
        <f t="shared" ref="K37:O37" si="77">K35-K36</f>
        <v>4.1299999999999955</v>
      </c>
      <c r="L37" s="17">
        <f t="shared" si="77"/>
        <v>4.5499999999999972</v>
      </c>
      <c r="M37" s="17">
        <f t="shared" si="77"/>
        <v>4.4599999999999937</v>
      </c>
      <c r="N37" s="17">
        <f t="shared" si="77"/>
        <v>3.8599999999999994</v>
      </c>
      <c r="O37" s="24">
        <f t="shared" si="77"/>
        <v>3.7000000000000028</v>
      </c>
    </row>
    <row r="38" spans="2:15">
      <c r="B38" s="23" t="s">
        <v>44</v>
      </c>
      <c r="C38" s="12">
        <f>C37/C32</f>
        <v>-10.194000000000001</v>
      </c>
      <c r="D38" s="12">
        <f t="shared" ref="D38:J38" si="78">D37/D32</f>
        <v>-0.99899999999999989</v>
      </c>
      <c r="E38" s="12">
        <f t="shared" si="78"/>
        <v>-0.14593808049535614</v>
      </c>
      <c r="F38" s="14">
        <f t="shared" si="78"/>
        <v>-4.1666666666667256E-3</v>
      </c>
      <c r="G38" s="14">
        <f t="shared" si="78"/>
        <v>-3.3333333333333319E-2</v>
      </c>
      <c r="H38" s="14">
        <f t="shared" si="78"/>
        <v>3.9215686274509803E-3</v>
      </c>
      <c r="I38" s="14">
        <f t="shared" si="78"/>
        <v>3.9215686274510358E-3</v>
      </c>
      <c r="J38" s="14">
        <f t="shared" si="78"/>
        <v>4.6498599439775898E-2</v>
      </c>
      <c r="K38" s="14">
        <f t="shared" ref="K38" si="79">K37/K32</f>
        <v>4.1176470588235252E-2</v>
      </c>
      <c r="L38" s="14">
        <f t="shared" ref="L38" si="80">L37/L32</f>
        <v>4.1176470588235266E-2</v>
      </c>
      <c r="M38" s="14">
        <f t="shared" ref="M38" si="81">M37/M32</f>
        <v>3.7213183145598613E-2</v>
      </c>
      <c r="N38" s="14">
        <f t="shared" ref="N38" si="82">N37/N32</f>
        <v>3.0074016361511489E-2</v>
      </c>
      <c r="O38" s="25">
        <f t="shared" ref="O38" si="83">O37/O32</f>
        <v>2.7205882352941198E-2</v>
      </c>
    </row>
    <row r="39" spans="2:15">
      <c r="B39" s="23"/>
      <c r="C39" s="15"/>
      <c r="D39" s="15"/>
      <c r="E39" s="15"/>
      <c r="F39" s="17"/>
      <c r="G39" s="17"/>
      <c r="H39" s="17"/>
      <c r="I39" s="17"/>
      <c r="J39" s="17"/>
      <c r="O39" s="37"/>
    </row>
    <row r="40" spans="2:15">
      <c r="B40" s="23" t="s">
        <v>37</v>
      </c>
      <c r="C40" s="15">
        <v>-14.7</v>
      </c>
      <c r="D40" s="15">
        <v>-22.7</v>
      </c>
      <c r="E40" s="15">
        <v>-17</v>
      </c>
      <c r="F40" s="17">
        <f>(C40+D40+E40)/3</f>
        <v>-18.133333333333333</v>
      </c>
      <c r="G40" s="17">
        <v>-18.7</v>
      </c>
      <c r="H40" s="17">
        <v>-19.3</v>
      </c>
      <c r="I40" s="17">
        <v>-19.899999999999999</v>
      </c>
      <c r="J40" s="17">
        <v>-20.5</v>
      </c>
      <c r="K40" s="15">
        <f>'Forecast Base'!K40</f>
        <v>-21.5</v>
      </c>
      <c r="L40" s="15">
        <f>'Forecast Base'!L40</f>
        <v>-22.5</v>
      </c>
      <c r="M40" s="15">
        <f>'Forecast Base'!M40</f>
        <v>-23.5</v>
      </c>
      <c r="N40" s="15">
        <f>'Forecast Base'!N40</f>
        <v>-24.5</v>
      </c>
      <c r="O40" s="15">
        <f>'Forecast Base'!O40</f>
        <v>-25.5</v>
      </c>
    </row>
    <row r="41" spans="2:15">
      <c r="B41" s="23" t="s">
        <v>1</v>
      </c>
      <c r="C41" s="15">
        <f>C10+C19+C28+C37+C40</f>
        <v>161.67680000000004</v>
      </c>
      <c r="D41" s="15">
        <f t="shared" ref="D41:I41" si="84">D10+D19+D28+D37+D40</f>
        <v>181.50710000000004</v>
      </c>
      <c r="E41" s="15">
        <f t="shared" si="84"/>
        <v>171.68809999999996</v>
      </c>
      <c r="F41" s="17">
        <f t="shared" si="84"/>
        <v>164.45256666666666</v>
      </c>
      <c r="G41" s="17">
        <f t="shared" si="84"/>
        <v>192.26990400000003</v>
      </c>
      <c r="H41" s="17">
        <f t="shared" si="84"/>
        <v>214.31650395999998</v>
      </c>
      <c r="I41" s="17">
        <f t="shared" si="84"/>
        <v>232.18178375000011</v>
      </c>
      <c r="J41" s="17">
        <f>J10+J19+J28+J37+J40</f>
        <v>250.8913233499801</v>
      </c>
      <c r="K41" s="17">
        <f t="shared" ref="K41:O41" si="85">K10+K19+K28+K37+K40</f>
        <v>266.41892416750352</v>
      </c>
      <c r="L41" s="17">
        <f t="shared" si="85"/>
        <v>283.50412386680472</v>
      </c>
      <c r="M41" s="17">
        <f t="shared" si="85"/>
        <v>295.97213455168418</v>
      </c>
      <c r="N41" s="17">
        <f t="shared" si="85"/>
        <v>303.44986982781933</v>
      </c>
      <c r="O41" s="24">
        <f t="shared" si="85"/>
        <v>308.48003922593108</v>
      </c>
    </row>
    <row r="42" spans="2:15">
      <c r="B42" s="23"/>
      <c r="C42" s="15"/>
      <c r="D42" s="15"/>
      <c r="E42" s="15"/>
      <c r="F42" s="17"/>
      <c r="G42" s="17"/>
      <c r="H42" s="17"/>
      <c r="I42" s="17"/>
      <c r="J42" s="17"/>
      <c r="O42" s="37"/>
    </row>
    <row r="43" spans="2:15">
      <c r="B43" s="27" t="s">
        <v>38</v>
      </c>
      <c r="C43" s="18"/>
      <c r="D43" s="15"/>
      <c r="E43" s="15"/>
      <c r="F43" s="17"/>
      <c r="G43" s="17"/>
      <c r="H43" s="17"/>
      <c r="I43" s="17"/>
      <c r="J43" s="17"/>
      <c r="O43" s="37"/>
    </row>
    <row r="44" spans="2:15">
      <c r="B44" s="23" t="s">
        <v>27</v>
      </c>
      <c r="C44" s="15">
        <f>C32+C23+C14+C5</f>
        <v>1287.9000000000001</v>
      </c>
      <c r="D44" s="15">
        <f t="shared" ref="D44:O44" si="86">D32+D23+D14+D5</f>
        <v>1357.1999999999998</v>
      </c>
      <c r="E44" s="15">
        <f t="shared" si="86"/>
        <v>1319</v>
      </c>
      <c r="F44" s="17">
        <f t="shared" si="86"/>
        <v>1452.1239999999998</v>
      </c>
      <c r="G44" s="17">
        <f t="shared" si="86"/>
        <v>1542.5097999999998</v>
      </c>
      <c r="H44" s="17">
        <f t="shared" si="86"/>
        <v>1645.3498119999999</v>
      </c>
      <c r="I44" s="17">
        <f t="shared" si="86"/>
        <v>1739.8341715200002</v>
      </c>
      <c r="J44" s="17">
        <f t="shared" si="86"/>
        <v>1836.6545797404003</v>
      </c>
      <c r="K44" s="17">
        <f t="shared" si="86"/>
        <v>1924.2744905947181</v>
      </c>
      <c r="L44" s="17">
        <f t="shared" si="86"/>
        <v>2008.7952581414577</v>
      </c>
      <c r="M44" s="17">
        <f t="shared" si="86"/>
        <v>2086.0086605558922</v>
      </c>
      <c r="N44" s="17">
        <f t="shared" si="86"/>
        <v>2154.9734114872317</v>
      </c>
      <c r="O44" s="24">
        <f t="shared" si="86"/>
        <v>2214.820787578089</v>
      </c>
    </row>
    <row r="45" spans="2:15">
      <c r="B45" s="23" t="s">
        <v>29</v>
      </c>
      <c r="C45" s="12"/>
      <c r="D45" s="12">
        <f>(D44-C44)/C44</f>
        <v>5.3808525506638498E-2</v>
      </c>
      <c r="E45" s="12">
        <f t="shared" ref="E45:J45" si="87">(E44-D44)/D44</f>
        <v>-2.814618331859698E-2</v>
      </c>
      <c r="F45" s="12">
        <f t="shared" si="87"/>
        <v>0.10092797573919621</v>
      </c>
      <c r="G45" s="12">
        <f t="shared" si="87"/>
        <v>6.2243857962543163E-2</v>
      </c>
      <c r="H45" s="12">
        <f t="shared" si="87"/>
        <v>6.6670572854707386E-2</v>
      </c>
      <c r="I45" s="12">
        <f t="shared" si="87"/>
        <v>5.7425089078868917E-2</v>
      </c>
      <c r="J45" s="12">
        <f t="shared" si="87"/>
        <v>5.5649216347908231E-2</v>
      </c>
      <c r="K45" s="12">
        <f t="shared" ref="K45" si="88">(K44-J44)/J44</f>
        <v>4.7706254524300565E-2</v>
      </c>
      <c r="L45" s="12">
        <f t="shared" ref="L45" si="89">(L44-K44)/K44</f>
        <v>4.3923446452079434E-2</v>
      </c>
      <c r="M45" s="12">
        <f t="shared" ref="M45" si="90">(M44-L44)/L44</f>
        <v>3.8437666607134754E-2</v>
      </c>
      <c r="N45" s="12">
        <f t="shared" ref="N45" si="91">(N44-M44)/M44</f>
        <v>3.3060625411287292E-2</v>
      </c>
      <c r="O45" s="119">
        <f t="shared" ref="O45" si="92">(O44-N44)/N44</f>
        <v>2.7771746867890263E-2</v>
      </c>
    </row>
    <row r="46" spans="2:15">
      <c r="B46" s="23" t="s">
        <v>30</v>
      </c>
      <c r="C46" s="15">
        <f>C35+C26+C17+C8</f>
        <v>548.3768</v>
      </c>
      <c r="D46" s="15">
        <f>D35+D26+D17+D8</f>
        <v>590.50710000000004</v>
      </c>
      <c r="E46" s="15">
        <f t="shared" ref="E46:O46" si="93">E35+E26+E17+E8</f>
        <v>585.88809999999989</v>
      </c>
      <c r="F46" s="17">
        <f t="shared" si="93"/>
        <v>604.80190000000005</v>
      </c>
      <c r="G46" s="17">
        <f t="shared" si="93"/>
        <v>654.61530400000004</v>
      </c>
      <c r="H46" s="17">
        <f t="shared" si="93"/>
        <v>703.52917395999998</v>
      </c>
      <c r="I46" s="17">
        <f t="shared" si="93"/>
        <v>752.29108785000017</v>
      </c>
      <c r="J46" s="17">
        <f t="shared" si="93"/>
        <v>799.29264828798023</v>
      </c>
      <c r="K46" s="17">
        <f t="shared" si="93"/>
        <v>841.21218523077596</v>
      </c>
      <c r="L46" s="17">
        <f t="shared" si="93"/>
        <v>883.91160708507027</v>
      </c>
      <c r="M46" s="17">
        <f t="shared" si="93"/>
        <v>921.88388695890012</v>
      </c>
      <c r="N46" s="17">
        <f t="shared" si="93"/>
        <v>954.33086758623097</v>
      </c>
      <c r="O46" s="24">
        <f t="shared" si="93"/>
        <v>982.61817666308616</v>
      </c>
    </row>
    <row r="47" spans="2:15">
      <c r="B47" s="23" t="s">
        <v>11</v>
      </c>
      <c r="C47" s="13">
        <f>C46/C44</f>
        <v>0.42579144343504927</v>
      </c>
      <c r="D47" s="13">
        <f t="shared" ref="D47:J47" si="94">D46/D44</f>
        <v>0.43509217506631309</v>
      </c>
      <c r="E47" s="13">
        <f t="shared" si="94"/>
        <v>0.44419112964366936</v>
      </c>
      <c r="F47" s="19">
        <f t="shared" si="94"/>
        <v>0.41649466574479876</v>
      </c>
      <c r="G47" s="19">
        <f t="shared" si="94"/>
        <v>0.42438323827829172</v>
      </c>
      <c r="H47" s="19">
        <f t="shared" si="94"/>
        <v>0.42758638243914054</v>
      </c>
      <c r="I47" s="19">
        <f t="shared" si="94"/>
        <v>0.43239240852061417</v>
      </c>
      <c r="J47" s="14">
        <f t="shared" si="94"/>
        <v>0.4351894238060568</v>
      </c>
      <c r="K47" s="14">
        <f t="shared" ref="K47" si="95">K46/K44</f>
        <v>0.43715810262120663</v>
      </c>
      <c r="L47" s="14">
        <f t="shared" ref="L47" si="96">L46/L44</f>
        <v>0.44002075547652747</v>
      </c>
      <c r="M47" s="14">
        <f t="shared" ref="M47" si="97">M46/M44</f>
        <v>0.4419367495402588</v>
      </c>
      <c r="N47" s="14">
        <f t="shared" ref="N47" si="98">N46/N44</f>
        <v>0.44285041406966119</v>
      </c>
      <c r="O47" s="25">
        <f t="shared" ref="O47" si="99">O46/O44</f>
        <v>0.44365583986485024</v>
      </c>
    </row>
    <row r="48" spans="2:15">
      <c r="B48" s="23" t="s">
        <v>32</v>
      </c>
      <c r="C48" s="15">
        <f>C41</f>
        <v>161.67680000000004</v>
      </c>
      <c r="D48" s="15">
        <f t="shared" ref="D48:I48" si="100">D41</f>
        <v>181.50710000000004</v>
      </c>
      <c r="E48" s="15">
        <f t="shared" si="100"/>
        <v>171.68809999999996</v>
      </c>
      <c r="F48" s="15">
        <f t="shared" si="100"/>
        <v>164.45256666666666</v>
      </c>
      <c r="G48" s="15">
        <f t="shared" si="100"/>
        <v>192.26990400000003</v>
      </c>
      <c r="H48" s="15">
        <f t="shared" si="100"/>
        <v>214.31650395999998</v>
      </c>
      <c r="I48" s="15">
        <f t="shared" si="100"/>
        <v>232.18178375000011</v>
      </c>
      <c r="J48" s="15">
        <f>J41</f>
        <v>250.8913233499801</v>
      </c>
      <c r="K48" s="15">
        <f t="shared" ref="K48:O48" si="101">K41</f>
        <v>266.41892416750352</v>
      </c>
      <c r="L48" s="15">
        <f t="shared" si="101"/>
        <v>283.50412386680472</v>
      </c>
      <c r="M48" s="15">
        <f t="shared" si="101"/>
        <v>295.97213455168418</v>
      </c>
      <c r="N48" s="15">
        <f t="shared" si="101"/>
        <v>303.44986982781933</v>
      </c>
      <c r="O48" s="26">
        <f t="shared" si="101"/>
        <v>308.48003922593108</v>
      </c>
    </row>
    <row r="49" spans="2:15" ht="17" thickBot="1">
      <c r="B49" s="28" t="s">
        <v>33</v>
      </c>
      <c r="C49" s="29">
        <f>C48/C44</f>
        <v>0.12553521236120818</v>
      </c>
      <c r="D49" s="29">
        <f t="shared" ref="D49:I49" si="102">D48/D44</f>
        <v>0.13373644267609788</v>
      </c>
      <c r="E49" s="29">
        <f t="shared" si="102"/>
        <v>0.13016535253980285</v>
      </c>
      <c r="F49" s="30">
        <f t="shared" si="102"/>
        <v>0.11324967197475332</v>
      </c>
      <c r="G49" s="30">
        <f t="shared" si="102"/>
        <v>0.12464744405513667</v>
      </c>
      <c r="H49" s="30">
        <f t="shared" si="102"/>
        <v>0.13025588990069425</v>
      </c>
      <c r="I49" s="30">
        <f t="shared" si="102"/>
        <v>0.13345052508490238</v>
      </c>
      <c r="J49" s="30">
        <f>J48/J44</f>
        <v>0.13660234543690955</v>
      </c>
      <c r="K49" s="30">
        <f t="shared" ref="K49:O49" si="103">K48/K44</f>
        <v>0.13845162188122331</v>
      </c>
      <c r="L49" s="30">
        <f t="shared" si="103"/>
        <v>0.14113141830546905</v>
      </c>
      <c r="M49" s="30">
        <f t="shared" si="103"/>
        <v>0.14188442270072443</v>
      </c>
      <c r="N49" s="30">
        <f t="shared" si="103"/>
        <v>0.14081374192844295</v>
      </c>
      <c r="O49" s="31">
        <f t="shared" si="103"/>
        <v>0.13927990966856268</v>
      </c>
    </row>
    <row r="50" spans="2:15" ht="17" thickBot="1"/>
    <row r="51" spans="2:15">
      <c r="B51" s="33" t="s">
        <v>50</v>
      </c>
      <c r="C51" s="34" t="str">
        <f>F4</f>
        <v>2026E</v>
      </c>
      <c r="D51" s="34" t="str">
        <f t="shared" ref="D51:G51" si="104">G4</f>
        <v>2027E</v>
      </c>
      <c r="E51" s="34" t="str">
        <f t="shared" si="104"/>
        <v>2028E</v>
      </c>
      <c r="F51" s="34" t="str">
        <f t="shared" si="104"/>
        <v>2029E</v>
      </c>
      <c r="G51" s="34" t="str">
        <f t="shared" si="104"/>
        <v>2030E</v>
      </c>
      <c r="H51" s="34" t="str">
        <f t="shared" ref="H51" si="105">K4</f>
        <v>2031E</v>
      </c>
      <c r="I51" s="34" t="str">
        <f t="shared" ref="I51" si="106">L4</f>
        <v>2032E</v>
      </c>
      <c r="J51" s="34" t="str">
        <f t="shared" ref="J51" si="107">M4</f>
        <v>2033E</v>
      </c>
      <c r="K51" s="34" t="str">
        <f t="shared" ref="K51" si="108">N4</f>
        <v>2034E</v>
      </c>
      <c r="L51" s="35" t="str">
        <f t="shared" ref="L51" si="109">O4</f>
        <v>2035E</v>
      </c>
    </row>
    <row r="52" spans="2:15">
      <c r="B52" s="27" t="s">
        <v>27</v>
      </c>
      <c r="C52" s="15">
        <f>F44</f>
        <v>1452.1239999999998</v>
      </c>
      <c r="D52" s="15">
        <f t="shared" ref="D52:G52" si="110">G44</f>
        <v>1542.5097999999998</v>
      </c>
      <c r="E52" s="15">
        <f t="shared" si="110"/>
        <v>1645.3498119999999</v>
      </c>
      <c r="F52" s="15">
        <f t="shared" si="110"/>
        <v>1739.8341715200002</v>
      </c>
      <c r="G52" s="15">
        <f t="shared" si="110"/>
        <v>1836.6545797404003</v>
      </c>
      <c r="H52" s="15">
        <f t="shared" ref="H52" si="111">K44</f>
        <v>1924.2744905947181</v>
      </c>
      <c r="I52" s="15">
        <f t="shared" ref="I52" si="112">L44</f>
        <v>2008.7952581414577</v>
      </c>
      <c r="J52" s="15">
        <f t="shared" ref="J52" si="113">M44</f>
        <v>2086.0086605558922</v>
      </c>
      <c r="K52" s="15">
        <f t="shared" ref="K52" si="114">N44</f>
        <v>2154.9734114872317</v>
      </c>
      <c r="L52" s="26">
        <f t="shared" ref="L52" si="115">O44</f>
        <v>2214.820787578089</v>
      </c>
    </row>
    <row r="53" spans="2:15">
      <c r="B53" s="27" t="s">
        <v>32</v>
      </c>
      <c r="C53" s="15">
        <f>F48</f>
        <v>164.45256666666666</v>
      </c>
      <c r="D53" s="15">
        <f t="shared" ref="D53:G54" si="116">G48</f>
        <v>192.26990400000003</v>
      </c>
      <c r="E53" s="15">
        <f t="shared" si="116"/>
        <v>214.31650395999998</v>
      </c>
      <c r="F53" s="15">
        <f t="shared" si="116"/>
        <v>232.18178375000011</v>
      </c>
      <c r="G53" s="15">
        <f t="shared" si="116"/>
        <v>250.8913233499801</v>
      </c>
      <c r="H53" s="15">
        <f t="shared" ref="H53:H54" si="117">K48</f>
        <v>266.41892416750352</v>
      </c>
      <c r="I53" s="15">
        <f t="shared" ref="I53:I54" si="118">L48</f>
        <v>283.50412386680472</v>
      </c>
      <c r="J53" s="15">
        <f t="shared" ref="J53:J54" si="119">M48</f>
        <v>295.97213455168418</v>
      </c>
      <c r="K53" s="15">
        <f t="shared" ref="K53:K54" si="120">N48</f>
        <v>303.44986982781933</v>
      </c>
      <c r="L53" s="26">
        <f t="shared" ref="L53:L54" si="121">O48</f>
        <v>308.48003922593108</v>
      </c>
    </row>
    <row r="54" spans="2:15">
      <c r="B54" s="27" t="s">
        <v>44</v>
      </c>
      <c r="C54" s="9">
        <f>F49</f>
        <v>0.11324967197475332</v>
      </c>
      <c r="D54" s="9">
        <f t="shared" si="116"/>
        <v>0.12464744405513667</v>
      </c>
      <c r="E54" s="9">
        <f t="shared" si="116"/>
        <v>0.13025588990069425</v>
      </c>
      <c r="F54" s="9">
        <f t="shared" si="116"/>
        <v>0.13345052508490238</v>
      </c>
      <c r="G54" s="9">
        <f t="shared" si="116"/>
        <v>0.13660234543690955</v>
      </c>
      <c r="H54" s="9">
        <f t="shared" si="117"/>
        <v>0.13845162188122331</v>
      </c>
      <c r="I54" s="9">
        <f t="shared" si="118"/>
        <v>0.14113141830546905</v>
      </c>
      <c r="J54" s="9">
        <f t="shared" si="119"/>
        <v>0.14188442270072443</v>
      </c>
      <c r="K54" s="9">
        <f t="shared" si="120"/>
        <v>0.14081374192844295</v>
      </c>
      <c r="L54" s="36">
        <f t="shared" si="121"/>
        <v>0.13927990966856268</v>
      </c>
    </row>
    <row r="55" spans="2:15">
      <c r="B55" s="27" t="s">
        <v>59</v>
      </c>
      <c r="C55" s="15">
        <f>Antagelser!C45*C52</f>
        <v>29.042479999999998</v>
      </c>
      <c r="D55" s="15">
        <f>Antagelser!D45*D52</f>
        <v>29.307686199999996</v>
      </c>
      <c r="E55" s="15">
        <f>Antagelser!E45*E52</f>
        <v>29.616296615999996</v>
      </c>
      <c r="F55" s="15">
        <f>Antagelser!F45*F52</f>
        <v>29.577180915840003</v>
      </c>
      <c r="G55" s="15">
        <f>Antagelser!G45*G52</f>
        <v>31.223127855586807</v>
      </c>
      <c r="H55" s="15">
        <f>Antagelser!H45*H52</f>
        <v>30.788391849515492</v>
      </c>
      <c r="I55" s="15">
        <f>Antagelser!I45*I52</f>
        <v>30.131928872121865</v>
      </c>
      <c r="J55" s="15">
        <f>Antagelser!J45*J52</f>
        <v>29.204121247782489</v>
      </c>
      <c r="K55" s="15">
        <f>Antagelser!K45*K52</f>
        <v>28.014654349334013</v>
      </c>
      <c r="L55" s="26">
        <f>Antagelser!L45*L52</f>
        <v>26.57784945093707</v>
      </c>
    </row>
    <row r="56" spans="2:15">
      <c r="B56" s="27" t="s">
        <v>60</v>
      </c>
      <c r="C56" s="15">
        <f>C53-C55</f>
        <v>135.41008666666664</v>
      </c>
      <c r="D56" s="15">
        <f t="shared" ref="D56:G56" si="122">D53-D55</f>
        <v>162.96221780000002</v>
      </c>
      <c r="E56" s="15">
        <f t="shared" si="122"/>
        <v>184.70020734399998</v>
      </c>
      <c r="F56" s="15">
        <f t="shared" si="122"/>
        <v>202.60460283416012</v>
      </c>
      <c r="G56" s="15">
        <f t="shared" si="122"/>
        <v>219.6681954943933</v>
      </c>
      <c r="H56" s="15">
        <f t="shared" ref="H56" si="123">H53-H55</f>
        <v>235.63053231798801</v>
      </c>
      <c r="I56" s="15">
        <f t="shared" ref="I56" si="124">I53-I55</f>
        <v>253.37219499468284</v>
      </c>
      <c r="J56" s="15">
        <f t="shared" ref="J56" si="125">J53-J55</f>
        <v>266.76801330390168</v>
      </c>
      <c r="K56" s="15">
        <f t="shared" ref="K56" si="126">K53-K55</f>
        <v>275.4352154784853</v>
      </c>
      <c r="L56" s="26">
        <f t="shared" ref="L56" si="127">L53-L55</f>
        <v>281.90218977499399</v>
      </c>
    </row>
    <row r="57" spans="2:15">
      <c r="B57" s="27" t="s">
        <v>52</v>
      </c>
      <c r="C57" s="1">
        <f>Antagelser!C46</f>
        <v>0.25</v>
      </c>
      <c r="D57" s="1">
        <f>Antagelser!D46</f>
        <v>0.25</v>
      </c>
      <c r="E57" s="1">
        <f>Antagelser!E46</f>
        <v>0.25</v>
      </c>
      <c r="F57" s="1">
        <f>Antagelser!F46</f>
        <v>0.25</v>
      </c>
      <c r="G57" s="1">
        <f>Antagelser!G46</f>
        <v>0.25</v>
      </c>
      <c r="H57" s="1">
        <f>Antagelser!H46</f>
        <v>0.25</v>
      </c>
      <c r="I57" s="1">
        <f>Antagelser!I46</f>
        <v>0.25</v>
      </c>
      <c r="J57" s="1">
        <f>Antagelser!J46</f>
        <v>0.25</v>
      </c>
      <c r="K57" s="1">
        <f>Antagelser!K46</f>
        <v>0.25</v>
      </c>
      <c r="L57" s="40">
        <f>Antagelser!L46</f>
        <v>0.25</v>
      </c>
    </row>
    <row r="58" spans="2:15">
      <c r="B58" s="27" t="s">
        <v>53</v>
      </c>
      <c r="C58" s="15">
        <f>C56*(1-C57)</f>
        <v>101.55756499999998</v>
      </c>
      <c r="D58" s="15">
        <f t="shared" ref="D58:G58" si="128">D56*(1-D57)</f>
        <v>122.22166335000001</v>
      </c>
      <c r="E58" s="15">
        <f t="shared" si="128"/>
        <v>138.52515550799998</v>
      </c>
      <c r="F58" s="15">
        <f t="shared" si="128"/>
        <v>151.95345212562009</v>
      </c>
      <c r="G58" s="15">
        <f t="shared" si="128"/>
        <v>164.75114662079497</v>
      </c>
      <c r="H58" s="15">
        <f t="shared" ref="H58" si="129">H56*(1-H57)</f>
        <v>176.72289923849101</v>
      </c>
      <c r="I58" s="15">
        <f t="shared" ref="I58" si="130">I56*(1-I57)</f>
        <v>190.02914624601215</v>
      </c>
      <c r="J58" s="15">
        <f t="shared" ref="J58" si="131">J56*(1-J57)</f>
        <v>200.07600997792628</v>
      </c>
      <c r="K58" s="15">
        <f t="shared" ref="K58" si="132">K56*(1-K57)</f>
        <v>206.57641160886396</v>
      </c>
      <c r="L58" s="26">
        <f t="shared" ref="L58" si="133">L56*(1-L57)</f>
        <v>211.42664233124549</v>
      </c>
    </row>
    <row r="59" spans="2:15">
      <c r="B59" s="27" t="s">
        <v>58</v>
      </c>
      <c r="C59" s="15">
        <f>C52*Antagelser!C47</f>
        <v>123.43053999999999</v>
      </c>
      <c r="D59" s="15">
        <f>D52*Antagelser!D47</f>
        <v>128.0283134</v>
      </c>
      <c r="E59" s="15">
        <f>E52*Antagelser!E47</f>
        <v>131.62798495999999</v>
      </c>
      <c r="F59" s="15">
        <f>F52*Antagelser!F47</f>
        <v>135.70706537856</v>
      </c>
      <c r="G59" s="15">
        <f>G52*Antagelser!G47</f>
        <v>137.74909348053001</v>
      </c>
      <c r="H59" s="15">
        <f>H52*Antagelser!H47</f>
        <v>140.4720378134144</v>
      </c>
      <c r="I59" s="15">
        <f>I52*Antagelser!I47</f>
        <v>142.62446332804348</v>
      </c>
      <c r="J59" s="15">
        <f>J52*Antagelser!J47</f>
        <v>143.93459757835657</v>
      </c>
      <c r="K59" s="15">
        <f>K52*Antagelser!K47</f>
        <v>144.38321856964453</v>
      </c>
      <c r="L59" s="26">
        <f>L52*Antagelser!L47</f>
        <v>143.9633511925758</v>
      </c>
    </row>
    <row r="60" spans="2:15">
      <c r="B60" s="27" t="s">
        <v>54</v>
      </c>
      <c r="C60" s="15">
        <f>C52*Antagelser!C48</f>
        <v>152.47301999999996</v>
      </c>
      <c r="D60" s="15">
        <f>D52*Antagelser!D48</f>
        <v>154.25098</v>
      </c>
      <c r="E60" s="15">
        <f>E52*Antagelser!E48</f>
        <v>156.30823214</v>
      </c>
      <c r="F60" s="15">
        <f>F52*Antagelser!F48</f>
        <v>156.5850754368</v>
      </c>
      <c r="G60" s="15">
        <f>G52*Antagelser!G48</f>
        <v>156.11563927793404</v>
      </c>
      <c r="H60" s="15">
        <f>H52*Antagelser!H48</f>
        <v>169.33615517233522</v>
      </c>
      <c r="I60" s="15">
        <f>I52*Antagelser!I48</f>
        <v>172.75639220016535</v>
      </c>
      <c r="J60" s="15">
        <f>J52*Antagelser!J48</f>
        <v>175.22472748669495</v>
      </c>
      <c r="K60" s="15">
        <f>K52*Antagelser!K48</f>
        <v>176.70781974195299</v>
      </c>
      <c r="L60" s="26">
        <f>L52*Antagelser!L48</f>
        <v>177.18566300624713</v>
      </c>
    </row>
    <row r="61" spans="2:15">
      <c r="B61" s="27" t="s">
        <v>12</v>
      </c>
      <c r="C61" s="15">
        <f>C52*Antagelser!C49</f>
        <v>370.29161999999997</v>
      </c>
      <c r="D61" s="15">
        <f>D52*Antagelser!D49</f>
        <v>385.62744999999995</v>
      </c>
      <c r="E61" s="15">
        <f>E52*Antagelser!E49</f>
        <v>403.11070393999995</v>
      </c>
      <c r="F61" s="15">
        <f>F52*Antagelser!F49</f>
        <v>417.56020116480005</v>
      </c>
      <c r="G61" s="15">
        <f>G52*Antagelser!G49</f>
        <v>431.61382623899408</v>
      </c>
      <c r="H61" s="15">
        <f>H52*Antagelser!H49</f>
        <v>452.20450528975874</v>
      </c>
      <c r="I61" s="15">
        <f>I52*Antagelser!I49</f>
        <v>468.04929514695965</v>
      </c>
      <c r="J61" s="15">
        <f>J52*Antagelser!J49</f>
        <v>479.78199192785524</v>
      </c>
      <c r="K61" s="15">
        <f>K52*Antagelser!K49</f>
        <v>491.33393781908887</v>
      </c>
      <c r="L61" s="26">
        <f>L52*Antagelser!L49</f>
        <v>498.33467720507002</v>
      </c>
    </row>
    <row r="62" spans="2:15">
      <c r="B62" s="27" t="s">
        <v>55</v>
      </c>
      <c r="C62" s="15">
        <f>C61-'Historiske finansielle tall'!J35</f>
        <v>41.591619999999978</v>
      </c>
      <c r="D62" s="15">
        <f>D61-C61</f>
        <v>15.335829999999987</v>
      </c>
      <c r="E62" s="15">
        <f t="shared" ref="E62:G62" si="134">E61-D61</f>
        <v>17.483253939999997</v>
      </c>
      <c r="F62" s="15">
        <f t="shared" si="134"/>
        <v>14.449497224800098</v>
      </c>
      <c r="G62" s="15">
        <f t="shared" si="134"/>
        <v>14.053625074194031</v>
      </c>
      <c r="H62" s="15">
        <f t="shared" ref="H62" si="135">H61-G61</f>
        <v>20.590679050764663</v>
      </c>
      <c r="I62" s="15">
        <f t="shared" ref="I62" si="136">I61-H61</f>
        <v>15.844789857200908</v>
      </c>
      <c r="J62" s="15">
        <f t="shared" ref="J62" si="137">J61-I61</f>
        <v>11.732696780895594</v>
      </c>
      <c r="K62" s="15">
        <f t="shared" ref="K62" si="138">K61-J61</f>
        <v>11.551945891233629</v>
      </c>
      <c r="L62" s="26">
        <f t="shared" ref="L62" si="139">L61-K61</f>
        <v>7.0007393859811486</v>
      </c>
    </row>
    <row r="63" spans="2:15">
      <c r="B63" s="27" t="s">
        <v>56</v>
      </c>
      <c r="C63" s="15">
        <f>C58+C59-C60-C62</f>
        <v>30.923465000000022</v>
      </c>
      <c r="D63" s="15">
        <f t="shared" ref="D63:G63" si="140">D58+D59-D60-D62</f>
        <v>80.663166750000045</v>
      </c>
      <c r="E63" s="15">
        <f t="shared" si="140"/>
        <v>96.361654387999948</v>
      </c>
      <c r="F63" s="15">
        <f t="shared" si="140"/>
        <v>116.62594484258003</v>
      </c>
      <c r="G63" s="15">
        <f t="shared" si="140"/>
        <v>132.33097574919688</v>
      </c>
      <c r="H63" s="15">
        <f t="shared" ref="H63" si="141">H58+H59-H60-H62</f>
        <v>127.26810282880552</v>
      </c>
      <c r="I63" s="15">
        <f t="shared" ref="I63" si="142">I58+I59-I60-I62</f>
        <v>144.05242751668936</v>
      </c>
      <c r="J63" s="15">
        <f t="shared" ref="J63" si="143">J58+J59-J60-J62</f>
        <v>157.05318328869228</v>
      </c>
      <c r="K63" s="15">
        <f t="shared" ref="K63" si="144">K58+K59-K60-K62</f>
        <v>162.6998645453219</v>
      </c>
      <c r="L63" s="26">
        <f t="shared" ref="L63" si="145">L58+L59-L60-L62</f>
        <v>171.20359113159304</v>
      </c>
    </row>
    <row r="64" spans="2:15" ht="17" thickBot="1">
      <c r="B64" s="115" t="s">
        <v>57</v>
      </c>
      <c r="C64" s="55">
        <f>C63/C52</f>
        <v>2.1295333594100796E-2</v>
      </c>
      <c r="D64" s="55">
        <f t="shared" ref="D64:G64" si="146">D63/D52</f>
        <v>5.2293454958924769E-2</v>
      </c>
      <c r="E64" s="55">
        <f t="shared" si="146"/>
        <v>5.8566059135393117E-2</v>
      </c>
      <c r="F64" s="55">
        <f t="shared" si="146"/>
        <v>6.7032793556807871E-2</v>
      </c>
      <c r="G64" s="55">
        <f t="shared" si="146"/>
        <v>7.2050007229939247E-2</v>
      </c>
      <c r="H64" s="55">
        <f t="shared" ref="H64" si="147">H63/H52</f>
        <v>6.6138226875040021E-2</v>
      </c>
      <c r="I64" s="55">
        <f t="shared" ref="I64" si="148">I63/I52</f>
        <v>7.1710856013253943E-2</v>
      </c>
      <c r="J64" s="55">
        <f t="shared" ref="J64" si="149">J63/J52</f>
        <v>7.5288845275857968E-2</v>
      </c>
      <c r="K64" s="55">
        <f t="shared" ref="K64" si="150">K63/K52</f>
        <v>7.5499708570898952E-2</v>
      </c>
      <c r="L64" s="56">
        <f t="shared" ref="L64" si="151">L63/L52</f>
        <v>7.7299071821880685E-2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8A0C-2060-0044-85D3-3C45F39A1CC3}">
  <dimension ref="B2:O64"/>
  <sheetViews>
    <sheetView tabSelected="1" zoomScale="75" workbookViewId="0">
      <selection activeCell="D10" sqref="D10"/>
    </sheetView>
  </sheetViews>
  <sheetFormatPr baseColWidth="10" defaultRowHeight="16"/>
  <cols>
    <col min="2" max="2" width="32.83203125" bestFit="1" customWidth="1"/>
  </cols>
  <sheetData>
    <row r="2" spans="2:15" ht="19">
      <c r="B2" s="231" t="s">
        <v>250</v>
      </c>
    </row>
    <row r="3" spans="2:15" ht="17" thickBot="1"/>
    <row r="4" spans="2:15">
      <c r="B4" s="20" t="s">
        <v>28</v>
      </c>
      <c r="C4" s="21">
        <v>2023</v>
      </c>
      <c r="D4" s="21">
        <v>2024</v>
      </c>
      <c r="E4" s="21">
        <v>2025</v>
      </c>
      <c r="F4" s="22" t="s">
        <v>39</v>
      </c>
      <c r="G4" s="22" t="s">
        <v>40</v>
      </c>
      <c r="H4" s="22" t="s">
        <v>41</v>
      </c>
      <c r="I4" s="22" t="s">
        <v>42</v>
      </c>
      <c r="J4" s="22" t="s">
        <v>43</v>
      </c>
      <c r="K4" s="22" t="s">
        <v>72</v>
      </c>
      <c r="L4" s="22" t="s">
        <v>135</v>
      </c>
      <c r="M4" s="22" t="s">
        <v>136</v>
      </c>
      <c r="N4" s="22" t="s">
        <v>137</v>
      </c>
      <c r="O4" s="118" t="s">
        <v>138</v>
      </c>
    </row>
    <row r="5" spans="2:15">
      <c r="B5" s="23" t="s">
        <v>27</v>
      </c>
      <c r="C5" s="15">
        <v>697.4</v>
      </c>
      <c r="D5" s="15">
        <v>773.1</v>
      </c>
      <c r="E5" s="15">
        <v>740.5</v>
      </c>
      <c r="F5" s="17">
        <f>E5*(1+Antagelser!C56)</f>
        <v>881.19499999999994</v>
      </c>
      <c r="G5" s="17">
        <f>F5*(1+Antagelser!D56)</f>
        <v>960.50255000000004</v>
      </c>
      <c r="H5" s="17">
        <f>G5*(1+Antagelser!E56)</f>
        <v>1046.9477795</v>
      </c>
      <c r="I5" s="17">
        <f>H5*(1+Antagelser!F56)</f>
        <v>1135.9383407575001</v>
      </c>
      <c r="J5" s="17">
        <f>I5*(1+Antagelser!G56)</f>
        <v>1226.8134080181003</v>
      </c>
      <c r="K5" s="17">
        <f>J5*(1+Antagelser!H56)</f>
        <v>1306.5562795392768</v>
      </c>
      <c r="L5" s="17">
        <f>K5*(1+Antagelser!I56)</f>
        <v>1384.9496563116336</v>
      </c>
      <c r="M5" s="17">
        <f>L5*(1+Antagelser!J56)</f>
        <v>1461.1218874087733</v>
      </c>
      <c r="N5" s="17">
        <f>M5*(1+Antagelser!K56)</f>
        <v>1534.1779817792121</v>
      </c>
      <c r="O5" s="24">
        <f>N5*(1+Antagelser!L56)</f>
        <v>1603.2159909592765</v>
      </c>
    </row>
    <row r="6" spans="2:15">
      <c r="B6" s="23" t="s">
        <v>29</v>
      </c>
      <c r="C6" s="12"/>
      <c r="D6" s="12">
        <f>(D5-C5)/C5</f>
        <v>0.10854602810438779</v>
      </c>
      <c r="E6" s="12">
        <f t="shared" ref="E6:J6" si="0">(E5-D5)/D5</f>
        <v>-4.2167895485706923E-2</v>
      </c>
      <c r="F6" s="14">
        <f t="shared" si="0"/>
        <v>0.18999999999999992</v>
      </c>
      <c r="G6" s="14">
        <f t="shared" si="0"/>
        <v>9.0000000000000122E-2</v>
      </c>
      <c r="H6" s="14">
        <f t="shared" si="0"/>
        <v>8.9999999999999983E-2</v>
      </c>
      <c r="I6" s="14">
        <f t="shared" si="0"/>
        <v>8.5000000000000075E-2</v>
      </c>
      <c r="J6" s="14">
        <f t="shared" si="0"/>
        <v>8.0000000000000154E-2</v>
      </c>
      <c r="K6" s="14">
        <f t="shared" ref="K6" si="1">(K5-J5)/J5</f>
        <v>6.5000000000000016E-2</v>
      </c>
      <c r="L6" s="14">
        <f t="shared" ref="L6" si="2">(L5-K5)/K5</f>
        <v>6.0000000000000116E-2</v>
      </c>
      <c r="M6" s="14">
        <f t="shared" ref="M6" si="3">(M5-L5)/L5</f>
        <v>5.4999999999999917E-2</v>
      </c>
      <c r="N6" s="14">
        <f t="shared" ref="N6" si="4">(N5-M5)/M5</f>
        <v>5.00000000000001E-2</v>
      </c>
      <c r="O6" s="25">
        <f t="shared" ref="O6" si="5">(O5-N5)/N5</f>
        <v>4.499999999999988E-2</v>
      </c>
    </row>
    <row r="7" spans="2:15">
      <c r="B7" s="23" t="s">
        <v>11</v>
      </c>
      <c r="C7" s="12">
        <v>0.39900000000000002</v>
      </c>
      <c r="D7" s="12">
        <v>0.40600000000000003</v>
      </c>
      <c r="E7" s="12">
        <v>0.41699999999999998</v>
      </c>
      <c r="F7" s="14">
        <f>Antagelser!C57</f>
        <v>0.41</v>
      </c>
      <c r="G7" s="14">
        <f>Antagelser!D57</f>
        <v>0.41499999999999998</v>
      </c>
      <c r="H7" s="14">
        <f>Antagelser!E57</f>
        <v>0.41499999999999998</v>
      </c>
      <c r="I7" s="14">
        <f>Antagelser!F57</f>
        <v>0.41799999999999998</v>
      </c>
      <c r="J7" s="14">
        <f>Antagelser!G57</f>
        <v>0.41799999999999998</v>
      </c>
      <c r="K7" s="14">
        <f>Antagelser!H57</f>
        <v>0.41799999999999998</v>
      </c>
      <c r="L7" s="14">
        <f>Antagelser!I57</f>
        <v>0.41799999999999998</v>
      </c>
      <c r="M7" s="14">
        <f>Antagelser!J57</f>
        <v>0.41799999999999998</v>
      </c>
      <c r="N7" s="14">
        <f>Antagelser!K57</f>
        <v>0.41799999999999998</v>
      </c>
      <c r="O7" s="25">
        <f>Antagelser!L57</f>
        <v>0.41799999999999998</v>
      </c>
    </row>
    <row r="8" spans="2:15">
      <c r="B8" s="23" t="s">
        <v>30</v>
      </c>
      <c r="C8" s="15">
        <f>C5*C7</f>
        <v>278.26260000000002</v>
      </c>
      <c r="D8" s="15">
        <f>D5*D7</f>
        <v>313.87860000000001</v>
      </c>
      <c r="E8" s="15">
        <f t="shared" ref="E8:J8" si="6">E5*E7</f>
        <v>308.7885</v>
      </c>
      <c r="F8" s="17">
        <f t="shared" si="6"/>
        <v>361.28994999999998</v>
      </c>
      <c r="G8" s="17">
        <f t="shared" si="6"/>
        <v>398.60855824999999</v>
      </c>
      <c r="H8" s="17">
        <f t="shared" si="6"/>
        <v>434.48332849249999</v>
      </c>
      <c r="I8" s="17">
        <f t="shared" si="6"/>
        <v>474.82222643663505</v>
      </c>
      <c r="J8" s="17">
        <f t="shared" si="6"/>
        <v>512.80800455156589</v>
      </c>
      <c r="K8" s="17">
        <f t="shared" ref="K8" si="7">K5*K7</f>
        <v>546.14052484741774</v>
      </c>
      <c r="L8" s="17">
        <f t="shared" ref="L8" si="8">L5*L7</f>
        <v>578.90895633826278</v>
      </c>
      <c r="M8" s="17">
        <f t="shared" ref="M8" si="9">M5*M7</f>
        <v>610.74894893686724</v>
      </c>
      <c r="N8" s="17">
        <f t="shared" ref="N8" si="10">N5*N7</f>
        <v>641.28639638371067</v>
      </c>
      <c r="O8" s="24">
        <f t="shared" ref="O8" si="11">O5*O7</f>
        <v>670.14428422097751</v>
      </c>
    </row>
    <row r="9" spans="2:15">
      <c r="B9" s="23" t="s">
        <v>31</v>
      </c>
      <c r="C9" s="15">
        <v>162.9</v>
      </c>
      <c r="D9" s="15">
        <v>183.2</v>
      </c>
      <c r="E9" s="15">
        <v>182.4</v>
      </c>
      <c r="F9" s="17">
        <f>E9*(1+Antagelser!C58)</f>
        <v>196.99200000000002</v>
      </c>
      <c r="G9" s="17">
        <f>F9*(1+Antagelser!D58)</f>
        <v>202.90176000000002</v>
      </c>
      <c r="H9" s="17">
        <f>G9*(1+Antagelser!E58)</f>
        <v>211.01783040000004</v>
      </c>
      <c r="I9" s="17">
        <f>H9*(1+Antagelser!F58)</f>
        <v>219.45854361600004</v>
      </c>
      <c r="J9" s="17">
        <f>I9*(1+Antagelser!G58)</f>
        <v>228.23688536064006</v>
      </c>
      <c r="K9" s="17">
        <f>J9*(1+Antagelser!H58)</f>
        <v>243.07228290908165</v>
      </c>
      <c r="L9" s="17">
        <f>K9*(1+Antagelser!I58)</f>
        <v>257.65661988362655</v>
      </c>
      <c r="M9" s="17">
        <f>L9*(1+Antagelser!J58)</f>
        <v>271.82773397722599</v>
      </c>
      <c r="N9" s="17">
        <f>M9*(1+Antagelser!K58)</f>
        <v>285.41912067608729</v>
      </c>
      <c r="O9" s="24">
        <f>N9*(1+Antagelser!L58)</f>
        <v>298.26298110651118</v>
      </c>
    </row>
    <row r="10" spans="2:15">
      <c r="B10" s="23" t="s">
        <v>32</v>
      </c>
      <c r="C10" s="15">
        <f>C8-C9</f>
        <v>115.36260000000001</v>
      </c>
      <c r="D10" s="15">
        <f>D8-D9</f>
        <v>130.67860000000002</v>
      </c>
      <c r="E10" s="15">
        <f>E8-E9</f>
        <v>126.38849999999999</v>
      </c>
      <c r="F10" s="15">
        <f t="shared" ref="F10:J10" si="12">F8-F9</f>
        <v>164.29794999999996</v>
      </c>
      <c r="G10" s="15">
        <f t="shared" si="12"/>
        <v>195.70679824999996</v>
      </c>
      <c r="H10" s="15">
        <f t="shared" si="12"/>
        <v>223.46549809249996</v>
      </c>
      <c r="I10" s="15">
        <f t="shared" si="12"/>
        <v>255.36368282063501</v>
      </c>
      <c r="J10" s="15">
        <f t="shared" si="12"/>
        <v>284.57111919092586</v>
      </c>
      <c r="K10" s="15">
        <f t="shared" ref="K10" si="13">K8-K9</f>
        <v>303.06824193833609</v>
      </c>
      <c r="L10" s="15">
        <f t="shared" ref="L10" si="14">L8-L9</f>
        <v>321.25233645463624</v>
      </c>
      <c r="M10" s="15">
        <f t="shared" ref="M10" si="15">M8-M9</f>
        <v>338.92121495964125</v>
      </c>
      <c r="N10" s="15">
        <f t="shared" ref="N10" si="16">N8-N9</f>
        <v>355.86727570762338</v>
      </c>
      <c r="O10" s="26">
        <f t="shared" ref="O10" si="17">O8-O9</f>
        <v>371.88130311446633</v>
      </c>
    </row>
    <row r="11" spans="2:15">
      <c r="B11" s="23" t="s">
        <v>33</v>
      </c>
      <c r="C11" s="12">
        <f>C10/C5</f>
        <v>0.16541812446228851</v>
      </c>
      <c r="D11" s="12">
        <f>D10/D5</f>
        <v>0.16903194929504595</v>
      </c>
      <c r="E11" s="12">
        <f t="shared" ref="E11:J11" si="18">E10/E5</f>
        <v>0.17067994598244429</v>
      </c>
      <c r="F11" s="14">
        <f t="shared" si="18"/>
        <v>0.18644902660591581</v>
      </c>
      <c r="G11" s="14">
        <f t="shared" si="18"/>
        <v>0.20375458477439748</v>
      </c>
      <c r="H11" s="14">
        <f t="shared" si="18"/>
        <v>0.21344474143612235</v>
      </c>
      <c r="I11" s="14">
        <f t="shared" si="18"/>
        <v>0.22480417612310349</v>
      </c>
      <c r="J11" s="14">
        <f t="shared" si="18"/>
        <v>0.231959577007433</v>
      </c>
      <c r="K11" s="14">
        <f t="shared" ref="K11" si="19">K10/K5</f>
        <v>0.23195957700743303</v>
      </c>
      <c r="L11" s="14">
        <f t="shared" ref="L11" si="20">L10/L5</f>
        <v>0.231959577007433</v>
      </c>
      <c r="M11" s="14">
        <f t="shared" ref="M11" si="21">M10/M5</f>
        <v>0.23195957700743303</v>
      </c>
      <c r="N11" s="14">
        <f t="shared" ref="N11" si="22">N10/N5</f>
        <v>0.23195957700743305</v>
      </c>
      <c r="O11" s="25">
        <f t="shared" ref="O11" si="23">O10/O5</f>
        <v>0.23195957700743303</v>
      </c>
    </row>
    <row r="12" spans="2:15">
      <c r="B12" s="23"/>
      <c r="C12" s="15"/>
      <c r="D12" s="15"/>
      <c r="E12" s="15"/>
      <c r="F12" s="17"/>
      <c r="G12" s="17"/>
      <c r="H12" s="17"/>
      <c r="I12" s="17"/>
      <c r="J12" s="17"/>
      <c r="O12" s="37"/>
    </row>
    <row r="13" spans="2:15">
      <c r="B13" s="27" t="s">
        <v>34</v>
      </c>
      <c r="C13" s="18"/>
      <c r="D13" s="15"/>
      <c r="E13" s="15"/>
      <c r="F13" s="17"/>
      <c r="G13" s="17"/>
      <c r="H13" s="17"/>
      <c r="I13" s="17"/>
      <c r="J13" s="17"/>
      <c r="O13" s="37"/>
    </row>
    <row r="14" spans="2:15">
      <c r="B14" s="23" t="s">
        <v>27</v>
      </c>
      <c r="C14" s="15">
        <v>270.10000000000002</v>
      </c>
      <c r="D14" s="15">
        <v>265.8</v>
      </c>
      <c r="E14" s="15">
        <v>218.2</v>
      </c>
      <c r="F14" s="17">
        <f>E14*(1+Antagelser!C61)</f>
        <v>211.654</v>
      </c>
      <c r="G14" s="17">
        <f>F14*(1+Antagelser!D61)</f>
        <v>232.8194</v>
      </c>
      <c r="H14" s="17">
        <f>G14*(1+Antagelser!E61)</f>
        <v>260.75772800000004</v>
      </c>
      <c r="I14" s="17">
        <f>H14*(1+Antagelser!F61)</f>
        <v>286.83350080000008</v>
      </c>
      <c r="J14" s="17">
        <f>I14*(1+Antagelser!G61)</f>
        <v>311.21434836800006</v>
      </c>
      <c r="K14" s="17">
        <f>J14*(1+Antagelser!H61)</f>
        <v>331.44328101192002</v>
      </c>
      <c r="L14" s="17">
        <f>K14*(1+Antagelser!I61)</f>
        <v>351.32987787263522</v>
      </c>
      <c r="M14" s="17">
        <f>L14*(1+Antagelser!J61)</f>
        <v>370.65302115563014</v>
      </c>
      <c r="N14" s="17">
        <f>M14*(1+Antagelser!K61)</f>
        <v>389.18567221341169</v>
      </c>
      <c r="O14" s="24">
        <f>N14*(1+Antagelser!L61)</f>
        <v>404.75309910194818</v>
      </c>
    </row>
    <row r="15" spans="2:15">
      <c r="B15" s="23" t="s">
        <v>29</v>
      </c>
      <c r="C15" s="12"/>
      <c r="D15" s="12">
        <f>(D14-C14)/C14</f>
        <v>-1.5920029618659796E-2</v>
      </c>
      <c r="E15" s="12">
        <f t="shared" ref="E15:J15" si="24">(E14-D14)/D14</f>
        <v>-0.17908201655379993</v>
      </c>
      <c r="F15" s="14">
        <f t="shared" si="24"/>
        <v>-2.9999999999999968E-2</v>
      </c>
      <c r="G15" s="14">
        <f t="shared" si="24"/>
        <v>0.10000000000000003</v>
      </c>
      <c r="H15" s="14">
        <f t="shared" si="24"/>
        <v>0.12000000000000018</v>
      </c>
      <c r="I15" s="14">
        <f t="shared" si="24"/>
        <v>0.10000000000000013</v>
      </c>
      <c r="J15" s="14">
        <f t="shared" si="24"/>
        <v>8.4999999999999895E-2</v>
      </c>
      <c r="K15" s="14">
        <f t="shared" ref="K15" si="25">(K14-J14)/J14</f>
        <v>6.4999999999999863E-2</v>
      </c>
      <c r="L15" s="14">
        <f t="shared" ref="L15" si="26">(L14-K14)/K14</f>
        <v>0.06</v>
      </c>
      <c r="M15" s="14">
        <f t="shared" ref="M15" si="27">(M14-L14)/L14</f>
        <v>5.4999999999999952E-2</v>
      </c>
      <c r="N15" s="14">
        <f t="shared" ref="N15" si="28">(N14-M14)/M14</f>
        <v>5.0000000000000114E-2</v>
      </c>
      <c r="O15" s="25">
        <f t="shared" ref="O15" si="29">(O14-N14)/N14</f>
        <v>4.0000000000000049E-2</v>
      </c>
    </row>
    <row r="16" spans="2:15">
      <c r="B16" s="23" t="s">
        <v>11</v>
      </c>
      <c r="C16" s="12">
        <v>0.52200000000000002</v>
      </c>
      <c r="D16" s="12">
        <v>0.52500000000000002</v>
      </c>
      <c r="E16" s="12">
        <v>0.47699999999999998</v>
      </c>
      <c r="F16" s="14">
        <f>Antagelser!C62</f>
        <v>0.48</v>
      </c>
      <c r="G16" s="14">
        <f>Antagelser!D62</f>
        <v>0.5</v>
      </c>
      <c r="H16" s="14">
        <f>Antagelser!E62</f>
        <v>0.51500000000000001</v>
      </c>
      <c r="I16" s="14">
        <f>Antagelser!F62</f>
        <v>0.52500000000000002</v>
      </c>
      <c r="J16" s="14">
        <f>Antagelser!G62</f>
        <v>0.53</v>
      </c>
      <c r="K16" s="14">
        <f>Antagelser!H62</f>
        <v>0.53</v>
      </c>
      <c r="L16" s="14">
        <f>Antagelser!I62</f>
        <v>0.53</v>
      </c>
      <c r="M16" s="14">
        <f>Antagelser!J62</f>
        <v>0.53</v>
      </c>
      <c r="N16" s="14">
        <f>Antagelser!K62</f>
        <v>0.53</v>
      </c>
      <c r="O16" s="25">
        <f>Antagelser!L62</f>
        <v>0.53</v>
      </c>
    </row>
    <row r="17" spans="2:15">
      <c r="B17" s="23" t="s">
        <v>30</v>
      </c>
      <c r="C17" s="15">
        <f>C16*C14</f>
        <v>140.99220000000003</v>
      </c>
      <c r="D17" s="15">
        <f t="shared" ref="D17:E17" si="30">D16*D14</f>
        <v>139.54500000000002</v>
      </c>
      <c r="E17" s="15">
        <f t="shared" si="30"/>
        <v>104.08139999999999</v>
      </c>
      <c r="F17" s="17">
        <f>F16*F14</f>
        <v>101.59392</v>
      </c>
      <c r="G17" s="17">
        <f t="shared" ref="G17:J17" si="31">G16*G14</f>
        <v>116.4097</v>
      </c>
      <c r="H17" s="17">
        <f t="shared" si="31"/>
        <v>134.29022992000003</v>
      </c>
      <c r="I17" s="17">
        <f t="shared" si="31"/>
        <v>150.58758792000006</v>
      </c>
      <c r="J17" s="17">
        <f t="shared" si="31"/>
        <v>164.94360463504003</v>
      </c>
      <c r="K17" s="17">
        <f t="shared" ref="K17" si="32">K16*K14</f>
        <v>175.66493893631761</v>
      </c>
      <c r="L17" s="17">
        <f t="shared" ref="L17" si="33">L16*L14</f>
        <v>186.20483527249667</v>
      </c>
      <c r="M17" s="17">
        <f t="shared" ref="M17" si="34">M16*M14</f>
        <v>196.446101212484</v>
      </c>
      <c r="N17" s="17">
        <f t="shared" ref="N17" si="35">N16*N14</f>
        <v>206.26840627310821</v>
      </c>
      <c r="O17" s="24">
        <f t="shared" ref="O17" si="36">O16*O14</f>
        <v>214.51914252403256</v>
      </c>
    </row>
    <row r="18" spans="2:15">
      <c r="B18" s="23" t="s">
        <v>31</v>
      </c>
      <c r="C18" s="15">
        <v>79.5</v>
      </c>
      <c r="D18" s="15">
        <v>79.400000000000006</v>
      </c>
      <c r="E18" s="15">
        <v>80.599999999999994</v>
      </c>
      <c r="F18" s="17">
        <f>E18*(1+Antagelser!C63)</f>
        <v>74.957999999999984</v>
      </c>
      <c r="G18" s="17">
        <f>F18*(1+Antagelser!D63)</f>
        <v>75.707579999999979</v>
      </c>
      <c r="H18" s="17">
        <f>G18*(1+Antagelser!E63)</f>
        <v>77.97880739999998</v>
      </c>
      <c r="I18" s="17">
        <f>H18*(1+Antagelser!F63)</f>
        <v>81.097959695999975</v>
      </c>
      <c r="J18" s="17">
        <f>I18*(1+Antagelser!G63)</f>
        <v>84.341878083839973</v>
      </c>
      <c r="K18" s="17">
        <f>J18*(1+Antagelser!H63)</f>
        <v>89.824100159289571</v>
      </c>
      <c r="L18" s="17">
        <f>K18*(1+Antagelser!I63)</f>
        <v>95.213546168846946</v>
      </c>
      <c r="M18" s="17">
        <f>L18*(1+Antagelser!J63)</f>
        <v>100.45029120813352</v>
      </c>
      <c r="N18" s="17">
        <f>M18*(1+Antagelser!K63)</f>
        <v>105.4728057685402</v>
      </c>
      <c r="O18" s="24">
        <f>N18*(1+Antagelser!L63)</f>
        <v>109.69171799928181</v>
      </c>
    </row>
    <row r="19" spans="2:15">
      <c r="B19" s="23" t="s">
        <v>32</v>
      </c>
      <c r="C19" s="17">
        <f>C17-C18</f>
        <v>61.492200000000025</v>
      </c>
      <c r="D19" s="17">
        <f t="shared" ref="D19:E19" si="37">D17-D18</f>
        <v>60.14500000000001</v>
      </c>
      <c r="E19" s="17">
        <f t="shared" si="37"/>
        <v>23.481399999999994</v>
      </c>
      <c r="F19" s="17">
        <f>F17-F18</f>
        <v>26.635920000000013</v>
      </c>
      <c r="G19" s="17">
        <f>G17-G18</f>
        <v>40.702120000000022</v>
      </c>
      <c r="H19" s="17">
        <f t="shared" ref="H19:I19" si="38">H17-H18</f>
        <v>56.31142252000005</v>
      </c>
      <c r="I19" s="17">
        <f t="shared" si="38"/>
        <v>69.489628224000086</v>
      </c>
      <c r="J19" s="17">
        <f>J17-J18</f>
        <v>80.601726551200059</v>
      </c>
      <c r="K19" s="17">
        <f t="shared" ref="K19:O19" si="39">K17-K18</f>
        <v>85.84083877702804</v>
      </c>
      <c r="L19" s="17">
        <f t="shared" si="39"/>
        <v>90.99128910364972</v>
      </c>
      <c r="M19" s="17">
        <f t="shared" si="39"/>
        <v>95.995810004350474</v>
      </c>
      <c r="N19" s="17">
        <f t="shared" si="39"/>
        <v>100.79560050456801</v>
      </c>
      <c r="O19" s="24">
        <f t="shared" si="39"/>
        <v>104.82742452475075</v>
      </c>
    </row>
    <row r="20" spans="2:15">
      <c r="B20" s="23" t="s">
        <v>33</v>
      </c>
      <c r="C20" s="12">
        <f>C19/C14</f>
        <v>0.22766456867826737</v>
      </c>
      <c r="D20" s="12">
        <f t="shared" ref="D20:E20" si="40">D19/D14</f>
        <v>0.2262791572610986</v>
      </c>
      <c r="E20" s="12">
        <f t="shared" si="40"/>
        <v>0.10761411549037578</v>
      </c>
      <c r="F20" s="14">
        <f>F19/F14</f>
        <v>0.12584652309902017</v>
      </c>
      <c r="G20" s="14">
        <f t="shared" ref="G20:J20" si="41">G19/G14</f>
        <v>0.17482271666364582</v>
      </c>
      <c r="H20" s="14">
        <f t="shared" si="41"/>
        <v>0.21595303407460292</v>
      </c>
      <c r="I20" s="14">
        <f t="shared" si="41"/>
        <v>0.24226468676144286</v>
      </c>
      <c r="J20" s="14">
        <f t="shared" si="41"/>
        <v>0.25899103615843361</v>
      </c>
      <c r="K20" s="14">
        <f t="shared" ref="K20" si="42">K19/K14</f>
        <v>0.25899103615843355</v>
      </c>
      <c r="L20" s="14">
        <f t="shared" ref="L20" si="43">L19/L14</f>
        <v>0.25899103615843355</v>
      </c>
      <c r="M20" s="14">
        <f t="shared" ref="M20" si="44">M19/M14</f>
        <v>0.25899103615843366</v>
      </c>
      <c r="N20" s="14">
        <f t="shared" ref="N20" si="45">N19/N14</f>
        <v>0.25899103615843366</v>
      </c>
      <c r="O20" s="25">
        <f t="shared" ref="O20" si="46">O19/O14</f>
        <v>0.25899103615843366</v>
      </c>
    </row>
    <row r="21" spans="2:15">
      <c r="B21" s="23"/>
      <c r="C21" s="15"/>
      <c r="D21" s="15"/>
      <c r="E21" s="15"/>
      <c r="F21" s="17"/>
      <c r="G21" s="17"/>
      <c r="H21" s="17"/>
      <c r="I21" s="17"/>
      <c r="J21" s="17"/>
      <c r="O21" s="37"/>
    </row>
    <row r="22" spans="2:15">
      <c r="B22" s="27" t="s">
        <v>35</v>
      </c>
      <c r="C22" s="18"/>
      <c r="D22" s="15"/>
      <c r="E22" s="15"/>
      <c r="F22" s="17"/>
      <c r="G22" s="17"/>
      <c r="H22" s="17"/>
      <c r="I22" s="17"/>
      <c r="J22" s="17"/>
      <c r="O22" s="37"/>
    </row>
    <row r="23" spans="2:15">
      <c r="B23" s="23" t="s">
        <v>27</v>
      </c>
      <c r="C23" s="15">
        <v>319.60000000000002</v>
      </c>
      <c r="D23" s="15">
        <v>310.89999999999998</v>
      </c>
      <c r="E23" s="15">
        <v>328</v>
      </c>
      <c r="F23" s="17">
        <f>E23*(1+Antagelser!C66)</f>
        <v>352.59999999999997</v>
      </c>
      <c r="G23" s="17">
        <f>F23*(1+Antagelser!D66)</f>
        <v>380.80799999999999</v>
      </c>
      <c r="H23" s="17">
        <f>G23*(1+Antagelser!E66)</f>
        <v>411.27264000000002</v>
      </c>
      <c r="I23" s="17">
        <f>H23*(1+Antagelser!F66)</f>
        <v>444.17445120000008</v>
      </c>
      <c r="J23" s="17">
        <f>I23*(1+Antagelser!G66)</f>
        <v>479.70840729600013</v>
      </c>
      <c r="K23" s="17">
        <f>J23*(1+Antagelser!H66)</f>
        <v>508.49091173376019</v>
      </c>
      <c r="L23" s="17">
        <f>K23*(1+Antagelser!I66)</f>
        <v>536.45791187911698</v>
      </c>
      <c r="M23" s="17">
        <f>L23*(1+Antagelser!J66)</f>
        <v>563.28080747307285</v>
      </c>
      <c r="N23" s="17">
        <f>M23*(1+Antagelser!K66)</f>
        <v>588.6284438093611</v>
      </c>
      <c r="O23" s="24">
        <f>N23*(1+Antagelser!L66)</f>
        <v>612.17358156173555</v>
      </c>
    </row>
    <row r="24" spans="2:15">
      <c r="B24" s="23" t="s">
        <v>29</v>
      </c>
      <c r="C24" s="12"/>
      <c r="D24" s="12">
        <f>(D23-C23)/C23</f>
        <v>-2.7221526908635937E-2</v>
      </c>
      <c r="E24" s="12">
        <f t="shared" ref="E24:J24" si="47">(E23-D23)/D23</f>
        <v>5.500160823415897E-2</v>
      </c>
      <c r="F24" s="14">
        <f t="shared" si="47"/>
        <v>7.49999999999999E-2</v>
      </c>
      <c r="G24" s="14">
        <f t="shared" si="47"/>
        <v>8.0000000000000085E-2</v>
      </c>
      <c r="H24" s="14">
        <f t="shared" si="47"/>
        <v>8.0000000000000085E-2</v>
      </c>
      <c r="I24" s="14">
        <f t="shared" si="47"/>
        <v>8.0000000000000127E-2</v>
      </c>
      <c r="J24" s="14">
        <f t="shared" si="47"/>
        <v>8.0000000000000113E-2</v>
      </c>
      <c r="K24" s="14">
        <f t="shared" ref="K24" si="48">(K23-J23)/J23</f>
        <v>6.0000000000000095E-2</v>
      </c>
      <c r="L24" s="14">
        <f t="shared" ref="L24" si="49">(L23-K23)/K23</f>
        <v>5.4999999999999966E-2</v>
      </c>
      <c r="M24" s="14">
        <f t="shared" ref="M24" si="50">(M23-L23)/L23</f>
        <v>5.0000000000000051E-2</v>
      </c>
      <c r="N24" s="14">
        <f t="shared" ref="N24" si="51">(N23-M23)/M23</f>
        <v>4.4999999999999943E-2</v>
      </c>
      <c r="O24" s="25">
        <f t="shared" ref="O24" si="52">(O23-N23)/N23</f>
        <v>0.04</v>
      </c>
    </row>
    <row r="25" spans="2:15">
      <c r="B25" s="23" t="s">
        <v>11</v>
      </c>
      <c r="C25" s="12">
        <v>0.40699999999999997</v>
      </c>
      <c r="D25" s="12">
        <v>0.42899999999999999</v>
      </c>
      <c r="E25" s="12">
        <v>0.46899999999999997</v>
      </c>
      <c r="F25" s="14">
        <f>Antagelser!C67</f>
        <v>0.44</v>
      </c>
      <c r="G25" s="14">
        <f>Antagelser!D67</f>
        <v>0.46</v>
      </c>
      <c r="H25" s="14">
        <f>Antagelser!E67</f>
        <v>0.46</v>
      </c>
      <c r="I25" s="14">
        <f>Antagelser!F67</f>
        <v>0.46500000000000002</v>
      </c>
      <c r="J25" s="14">
        <f>Antagelser!G67</f>
        <v>0.46500000000000002</v>
      </c>
      <c r="K25" s="14">
        <f>Antagelser!H67</f>
        <v>0.46500000000000002</v>
      </c>
      <c r="L25" s="14">
        <f>Antagelser!I67</f>
        <v>0.46500000000000002</v>
      </c>
      <c r="M25" s="14">
        <f>Antagelser!J67</f>
        <v>0.46500000000000002</v>
      </c>
      <c r="N25" s="14">
        <f>Antagelser!K67</f>
        <v>0.46500000000000002</v>
      </c>
      <c r="O25" s="25">
        <f>Antagelser!L67</f>
        <v>0.46500000000000002</v>
      </c>
    </row>
    <row r="26" spans="2:15">
      <c r="B26" s="23" t="s">
        <v>30</v>
      </c>
      <c r="C26" s="15">
        <f>C23*C25</f>
        <v>130.0772</v>
      </c>
      <c r="D26" s="15">
        <f t="shared" ref="D26:J26" si="53">D23*D25</f>
        <v>133.37609999999998</v>
      </c>
      <c r="E26" s="15">
        <f t="shared" si="53"/>
        <v>153.83199999999999</v>
      </c>
      <c r="F26" s="17">
        <f t="shared" si="53"/>
        <v>155.14399999999998</v>
      </c>
      <c r="G26" s="17">
        <f t="shared" si="53"/>
        <v>175.17168000000001</v>
      </c>
      <c r="H26" s="17">
        <f t="shared" si="53"/>
        <v>189.18541440000001</v>
      </c>
      <c r="I26" s="17">
        <f t="shared" si="53"/>
        <v>206.54111980800005</v>
      </c>
      <c r="J26" s="17">
        <f t="shared" si="53"/>
        <v>223.06440939264007</v>
      </c>
      <c r="K26" s="17">
        <f t="shared" ref="K26" si="54">K23*K25</f>
        <v>236.44827395619851</v>
      </c>
      <c r="L26" s="17">
        <f t="shared" ref="L26" si="55">L23*L25</f>
        <v>249.45292902378941</v>
      </c>
      <c r="M26" s="17">
        <f t="shared" ref="M26" si="56">M23*M25</f>
        <v>261.92557547497887</v>
      </c>
      <c r="N26" s="17">
        <f t="shared" ref="N26" si="57">N23*N25</f>
        <v>273.71222637135293</v>
      </c>
      <c r="O26" s="24">
        <f t="shared" ref="O26" si="58">O23*O25</f>
        <v>284.66071542620705</v>
      </c>
    </row>
    <row r="27" spans="2:15">
      <c r="B27" s="23" t="s">
        <v>31</v>
      </c>
      <c r="C27" s="15">
        <v>122.4</v>
      </c>
      <c r="D27" s="15">
        <v>112.6</v>
      </c>
      <c r="E27" s="15">
        <v>110.3</v>
      </c>
      <c r="F27" s="17">
        <f>E27*(1+Antagelser!C68)</f>
        <v>114.712</v>
      </c>
      <c r="G27" s="17">
        <f>F27*(1+Antagelser!D68)</f>
        <v>118.15336000000001</v>
      </c>
      <c r="H27" s="17">
        <f>G27*(1+Antagelser!E68)</f>
        <v>121.6979608</v>
      </c>
      <c r="I27" s="17">
        <f>H27*(1+Antagelser!F68)</f>
        <v>125.34889962400001</v>
      </c>
      <c r="J27" s="17">
        <f>I27*(1+Antagelser!G68)</f>
        <v>129.10936661272001</v>
      </c>
      <c r="K27" s="17">
        <f>J27*(1+Antagelser!H68)</f>
        <v>136.85592860948321</v>
      </c>
      <c r="L27" s="17">
        <f>K27*(1+Antagelser!I68)</f>
        <v>144.38300468300477</v>
      </c>
      <c r="M27" s="17">
        <f>L27*(1+Antagelser!J68)</f>
        <v>151.60215491715502</v>
      </c>
      <c r="N27" s="17">
        <f>M27*(1+Antagelser!K68)</f>
        <v>158.42425188842699</v>
      </c>
      <c r="O27" s="24">
        <f>N27*(1+Antagelser!L68)</f>
        <v>164.76122196396409</v>
      </c>
    </row>
    <row r="28" spans="2:15">
      <c r="B28" s="23" t="s">
        <v>32</v>
      </c>
      <c r="C28" s="17">
        <f t="shared" ref="C28:E28" si="59">C26-C27</f>
        <v>7.6771999999999991</v>
      </c>
      <c r="D28" s="17">
        <f t="shared" si="59"/>
        <v>20.776099999999985</v>
      </c>
      <c r="E28" s="17">
        <f t="shared" si="59"/>
        <v>43.531999999999996</v>
      </c>
      <c r="F28" s="17">
        <f>F26-F27</f>
        <v>40.431999999999974</v>
      </c>
      <c r="G28" s="17">
        <f t="shared" ref="G28:I28" si="60">G26-G27</f>
        <v>57.018320000000003</v>
      </c>
      <c r="H28" s="17">
        <f t="shared" si="60"/>
        <v>67.487453600000009</v>
      </c>
      <c r="I28" s="17">
        <f t="shared" si="60"/>
        <v>81.192220184000035</v>
      </c>
      <c r="J28" s="17">
        <f>J26-J27</f>
        <v>93.955042779920063</v>
      </c>
      <c r="K28" s="17">
        <f t="shared" ref="K28:O28" si="61">K26-K27</f>
        <v>99.592345346715291</v>
      </c>
      <c r="L28" s="17">
        <f t="shared" si="61"/>
        <v>105.06992434078464</v>
      </c>
      <c r="M28" s="17">
        <f t="shared" si="61"/>
        <v>110.32342055782385</v>
      </c>
      <c r="N28" s="17">
        <f t="shared" si="61"/>
        <v>115.28797448292593</v>
      </c>
      <c r="O28" s="24">
        <f t="shared" si="61"/>
        <v>119.89949346224296</v>
      </c>
    </row>
    <row r="29" spans="2:15">
      <c r="B29" s="23" t="s">
        <v>33</v>
      </c>
      <c r="C29" s="12">
        <f>C28/C23</f>
        <v>2.4021276595744677E-2</v>
      </c>
      <c r="D29" s="12">
        <f t="shared" ref="D29:J29" si="62">D28/D23</f>
        <v>6.6825667417175896E-2</v>
      </c>
      <c r="E29" s="12">
        <f t="shared" si="62"/>
        <v>0.13271951219512193</v>
      </c>
      <c r="F29" s="14">
        <f>F28/F23</f>
        <v>0.11466817923993188</v>
      </c>
      <c r="G29" s="14">
        <f t="shared" si="62"/>
        <v>0.14972983760845363</v>
      </c>
      <c r="H29" s="14">
        <f t="shared" si="62"/>
        <v>0.16409419697843261</v>
      </c>
      <c r="I29" s="14">
        <f t="shared" si="62"/>
        <v>0.18279353971091261</v>
      </c>
      <c r="J29" s="14">
        <f t="shared" si="62"/>
        <v>0.19585865361318522</v>
      </c>
      <c r="K29" s="14">
        <f t="shared" ref="K29" si="63">K28/K23</f>
        <v>0.19585865361318525</v>
      </c>
      <c r="L29" s="14">
        <f t="shared" ref="L29" si="64">L28/L23</f>
        <v>0.19585865361318527</v>
      </c>
      <c r="M29" s="14">
        <f t="shared" ref="M29" si="65">M28/M23</f>
        <v>0.19585865361318522</v>
      </c>
      <c r="N29" s="14">
        <f t="shared" ref="N29" si="66">N28/N23</f>
        <v>0.19585865361318525</v>
      </c>
      <c r="O29" s="25">
        <f t="shared" ref="O29" si="67">O28/O23</f>
        <v>0.19585865361318522</v>
      </c>
    </row>
    <row r="30" spans="2:15">
      <c r="B30" s="23"/>
      <c r="C30" s="15"/>
      <c r="D30" s="15"/>
      <c r="E30" s="15"/>
      <c r="F30" s="17"/>
      <c r="G30" s="17"/>
      <c r="H30" s="17"/>
      <c r="I30" s="17"/>
      <c r="J30" s="17"/>
      <c r="O30" s="37"/>
    </row>
    <row r="31" spans="2:15">
      <c r="B31" s="27" t="s">
        <v>36</v>
      </c>
      <c r="C31" s="18"/>
      <c r="D31" s="15"/>
      <c r="E31" s="15"/>
      <c r="F31" s="17"/>
      <c r="G31" s="17"/>
      <c r="H31" s="17"/>
      <c r="I31" s="17"/>
      <c r="J31" s="17"/>
      <c r="O31" s="37"/>
    </row>
    <row r="32" spans="2:15">
      <c r="B32" s="23" t="s">
        <v>27</v>
      </c>
      <c r="C32" s="15">
        <v>0.8</v>
      </c>
      <c r="D32" s="15">
        <v>7.4</v>
      </c>
      <c r="E32" s="15">
        <v>32.299999999999997</v>
      </c>
      <c r="F32" s="17">
        <v>48</v>
      </c>
      <c r="G32" s="17">
        <f>60*1.2</f>
        <v>72</v>
      </c>
      <c r="H32" s="17">
        <f>75*1.2</f>
        <v>90</v>
      </c>
      <c r="I32" s="17">
        <f>90*1.2</f>
        <v>108</v>
      </c>
      <c r="J32" s="17">
        <f>105*1.2</f>
        <v>126</v>
      </c>
      <c r="K32" s="17">
        <f>'Forecast Base'!K32*1.2</f>
        <v>141.6</v>
      </c>
      <c r="L32" s="17">
        <f>'Forecast Base'!L32*1.2</f>
        <v>156</v>
      </c>
      <c r="M32" s="17">
        <f>'Forecast Base'!M32*1.2</f>
        <v>169.2</v>
      </c>
      <c r="N32" s="17">
        <f>'Forecast Base'!N32*1.2</f>
        <v>181.2</v>
      </c>
      <c r="O32" s="24">
        <f>'Forecast Base'!O32*1.2</f>
        <v>192</v>
      </c>
    </row>
    <row r="33" spans="2:15">
      <c r="B33" s="23" t="s">
        <v>29</v>
      </c>
      <c r="C33" s="12"/>
      <c r="D33" s="12">
        <f>(D32-C32)/C32</f>
        <v>8.25</v>
      </c>
      <c r="E33" s="12">
        <f t="shared" ref="E33:I33" si="68">(E32-D32)/D32</f>
        <v>3.3648648648648645</v>
      </c>
      <c r="F33" s="14">
        <f t="shared" si="68"/>
        <v>0.48606811145510848</v>
      </c>
      <c r="G33" s="14">
        <f t="shared" si="68"/>
        <v>0.5</v>
      </c>
      <c r="H33" s="14">
        <f t="shared" si="68"/>
        <v>0.25</v>
      </c>
      <c r="I33" s="14">
        <f t="shared" si="68"/>
        <v>0.2</v>
      </c>
      <c r="J33" s="14">
        <f>(J32-I32)/I32</f>
        <v>0.16666666666666666</v>
      </c>
      <c r="K33" s="14">
        <f t="shared" ref="K33:O33" si="69">(K32-J32)/J32</f>
        <v>0.12380952380952376</v>
      </c>
      <c r="L33" s="14">
        <f t="shared" si="69"/>
        <v>0.10169491525423734</v>
      </c>
      <c r="M33" s="14">
        <f t="shared" si="69"/>
        <v>8.4615384615384537E-2</v>
      </c>
      <c r="N33" s="14">
        <f t="shared" si="69"/>
        <v>7.0921985815602842E-2</v>
      </c>
      <c r="O33" s="25">
        <f t="shared" si="69"/>
        <v>5.9602649006622585E-2</v>
      </c>
    </row>
    <row r="34" spans="2:15">
      <c r="B34" s="23" t="s">
        <v>11</v>
      </c>
      <c r="C34" s="12">
        <v>-1.194</v>
      </c>
      <c r="D34" s="12">
        <v>0.501</v>
      </c>
      <c r="E34" s="12">
        <v>0.59399999999999997</v>
      </c>
      <c r="F34" s="14">
        <v>0.6</v>
      </c>
      <c r="G34" s="14">
        <v>0.62</v>
      </c>
      <c r="H34" s="14">
        <v>0.64</v>
      </c>
      <c r="I34" s="14">
        <v>0.65</v>
      </c>
      <c r="J34" s="14">
        <v>0.65500000000000003</v>
      </c>
      <c r="K34" s="12">
        <v>0.66</v>
      </c>
      <c r="L34" s="12">
        <v>0.66500000000000004</v>
      </c>
      <c r="M34" s="12">
        <v>0.67</v>
      </c>
      <c r="N34" s="12">
        <v>0.67</v>
      </c>
      <c r="O34" s="119">
        <v>0.67</v>
      </c>
    </row>
    <row r="35" spans="2:15">
      <c r="B35" s="23" t="s">
        <v>30</v>
      </c>
      <c r="C35" s="15">
        <f t="shared" ref="C35:D35" si="70">C34*C32</f>
        <v>-0.95520000000000005</v>
      </c>
      <c r="D35" s="15">
        <f t="shared" si="70"/>
        <v>3.7074000000000003</v>
      </c>
      <c r="E35" s="15">
        <f>E34*E32</f>
        <v>19.186199999999996</v>
      </c>
      <c r="F35" s="17">
        <f t="shared" ref="F35:J35" si="71">F34*F32</f>
        <v>28.799999999999997</v>
      </c>
      <c r="G35" s="17">
        <f t="shared" si="71"/>
        <v>44.64</v>
      </c>
      <c r="H35" s="17">
        <f t="shared" si="71"/>
        <v>57.6</v>
      </c>
      <c r="I35" s="17">
        <f t="shared" si="71"/>
        <v>70.2</v>
      </c>
      <c r="J35" s="17">
        <f t="shared" si="71"/>
        <v>82.53</v>
      </c>
      <c r="K35" s="17">
        <f t="shared" ref="K35" si="72">K34*K32</f>
        <v>93.456000000000003</v>
      </c>
      <c r="L35" s="17">
        <f t="shared" ref="L35" si="73">L34*L32</f>
        <v>103.74000000000001</v>
      </c>
      <c r="M35" s="17">
        <f t="shared" ref="M35" si="74">M34*M32</f>
        <v>113.364</v>
      </c>
      <c r="N35" s="17">
        <f t="shared" ref="N35" si="75">N34*N32</f>
        <v>121.404</v>
      </c>
      <c r="O35" s="24">
        <f t="shared" ref="O35" si="76">O34*O32</f>
        <v>128.64000000000001</v>
      </c>
    </row>
    <row r="36" spans="2:15">
      <c r="B36" s="23" t="s">
        <v>31</v>
      </c>
      <c r="C36" s="15">
        <v>7.2</v>
      </c>
      <c r="D36" s="15">
        <v>11.1</v>
      </c>
      <c r="E36" s="15">
        <v>23.9</v>
      </c>
      <c r="F36" s="17">
        <v>29</v>
      </c>
      <c r="G36" s="17">
        <f>34*1.1</f>
        <v>37.400000000000006</v>
      </c>
      <c r="H36" s="17">
        <f>40*1.1</f>
        <v>44</v>
      </c>
      <c r="I36" s="17">
        <f>48*1.1</f>
        <v>52.800000000000004</v>
      </c>
      <c r="J36" s="17">
        <f>52*1.1</f>
        <v>57.2</v>
      </c>
      <c r="K36" s="15">
        <f>'Forecast Base'!K36*1.1</f>
        <v>64.900000000000006</v>
      </c>
      <c r="L36" s="15">
        <f>'Forecast Base'!L36*1.1</f>
        <v>71.5</v>
      </c>
      <c r="M36" s="15">
        <f>'Forecast Base'!M36*1.1</f>
        <v>78.100000000000009</v>
      </c>
      <c r="N36" s="15">
        <f>'Forecast Base'!N36*1.1</f>
        <v>84.7</v>
      </c>
      <c r="O36" s="26">
        <f>'Forecast Base'!O36*1.1</f>
        <v>90.2</v>
      </c>
    </row>
    <row r="37" spans="2:15">
      <c r="B37" s="23" t="s">
        <v>1</v>
      </c>
      <c r="C37" s="17">
        <f t="shared" ref="C37:I37" si="77">C35-C36</f>
        <v>-8.1552000000000007</v>
      </c>
      <c r="D37" s="17">
        <f t="shared" si="77"/>
        <v>-7.3925999999999998</v>
      </c>
      <c r="E37" s="17">
        <f t="shared" si="77"/>
        <v>-4.7138000000000027</v>
      </c>
      <c r="F37" s="17">
        <f t="shared" si="77"/>
        <v>-0.20000000000000284</v>
      </c>
      <c r="G37" s="17">
        <f t="shared" si="77"/>
        <v>7.2399999999999949</v>
      </c>
      <c r="H37" s="17">
        <f>H35-H36</f>
        <v>13.600000000000001</v>
      </c>
      <c r="I37" s="17">
        <f t="shared" si="77"/>
        <v>17.399999999999999</v>
      </c>
      <c r="J37" s="17">
        <f>J35-J36</f>
        <v>25.33</v>
      </c>
      <c r="K37" s="17">
        <f t="shared" ref="K37:O37" si="78">K35-K36</f>
        <v>28.555999999999997</v>
      </c>
      <c r="L37" s="17">
        <f t="shared" si="78"/>
        <v>32.240000000000009</v>
      </c>
      <c r="M37" s="17">
        <f t="shared" si="78"/>
        <v>35.263999999999996</v>
      </c>
      <c r="N37" s="17">
        <f t="shared" si="78"/>
        <v>36.703999999999994</v>
      </c>
      <c r="O37" s="24">
        <f t="shared" si="78"/>
        <v>38.440000000000012</v>
      </c>
    </row>
    <row r="38" spans="2:15">
      <c r="B38" s="23" t="s">
        <v>44</v>
      </c>
      <c r="C38" s="12">
        <f>C37/C32</f>
        <v>-10.194000000000001</v>
      </c>
      <c r="D38" s="12">
        <f t="shared" ref="D38:J38" si="79">D37/D32</f>
        <v>-0.99899999999999989</v>
      </c>
      <c r="E38" s="12">
        <f t="shared" si="79"/>
        <v>-0.14593808049535614</v>
      </c>
      <c r="F38" s="14">
        <f t="shared" si="79"/>
        <v>-4.1666666666667256E-3</v>
      </c>
      <c r="G38" s="14">
        <f t="shared" si="79"/>
        <v>0.10055555555555548</v>
      </c>
      <c r="H38" s="14">
        <f t="shared" si="79"/>
        <v>0.15111111111111114</v>
      </c>
      <c r="I38" s="14">
        <f t="shared" si="79"/>
        <v>0.16111111111111109</v>
      </c>
      <c r="J38" s="14">
        <f t="shared" si="79"/>
        <v>0.20103174603174601</v>
      </c>
      <c r="K38" s="14">
        <f t="shared" ref="K38" si="80">K37/K32</f>
        <v>0.20166666666666666</v>
      </c>
      <c r="L38" s="14">
        <f t="shared" ref="L38" si="81">L37/L32</f>
        <v>0.20666666666666672</v>
      </c>
      <c r="M38" s="14">
        <f t="shared" ref="M38" si="82">M37/M32</f>
        <v>0.20841607565011819</v>
      </c>
      <c r="N38" s="14">
        <f t="shared" ref="N38" si="83">N37/N32</f>
        <v>0.20256070640176599</v>
      </c>
      <c r="O38" s="25">
        <f t="shared" ref="O38" si="84">O37/O32</f>
        <v>0.2002083333333334</v>
      </c>
    </row>
    <row r="39" spans="2:15">
      <c r="B39" s="23"/>
      <c r="C39" s="15"/>
      <c r="D39" s="15"/>
      <c r="E39" s="15"/>
      <c r="F39" s="17"/>
      <c r="G39" s="17"/>
      <c r="H39" s="17"/>
      <c r="I39" s="17"/>
      <c r="J39" s="17"/>
      <c r="O39" s="37"/>
    </row>
    <row r="40" spans="2:15">
      <c r="B40" s="23" t="s">
        <v>37</v>
      </c>
      <c r="C40" s="15">
        <v>-14.7</v>
      </c>
      <c r="D40" s="15">
        <v>-22.7</v>
      </c>
      <c r="E40" s="15">
        <v>-17</v>
      </c>
      <c r="F40" s="17">
        <f>(C40+D40+E40)/3</f>
        <v>-18.133333333333333</v>
      </c>
      <c r="G40" s="17">
        <v>-18.7</v>
      </c>
      <c r="H40" s="17">
        <v>-19.3</v>
      </c>
      <c r="I40" s="17">
        <v>-19.899999999999999</v>
      </c>
      <c r="J40" s="17">
        <v>-20.5</v>
      </c>
      <c r="K40" s="15">
        <f>'Forecast Base'!K40</f>
        <v>-21.5</v>
      </c>
      <c r="L40" s="15">
        <f>'Forecast Base'!L40</f>
        <v>-22.5</v>
      </c>
      <c r="M40" s="15">
        <f>'Forecast Base'!M40</f>
        <v>-23.5</v>
      </c>
      <c r="N40" s="15">
        <f>'Forecast Base'!N40</f>
        <v>-24.5</v>
      </c>
      <c r="O40" s="26">
        <f>'Forecast Base'!O40</f>
        <v>-25.5</v>
      </c>
    </row>
    <row r="41" spans="2:15">
      <c r="B41" s="23" t="s">
        <v>1</v>
      </c>
      <c r="C41" s="15">
        <f>C10+C19+C28+C37+C40</f>
        <v>161.67680000000004</v>
      </c>
      <c r="D41" s="15">
        <f t="shared" ref="D41:J41" si="85">D10+D19+D28+D37+D40</f>
        <v>181.50710000000004</v>
      </c>
      <c r="E41" s="15">
        <f t="shared" si="85"/>
        <v>171.68809999999996</v>
      </c>
      <c r="F41" s="17">
        <f t="shared" si="85"/>
        <v>213.0325366666666</v>
      </c>
      <c r="G41" s="17">
        <f t="shared" si="85"/>
        <v>281.96723825000004</v>
      </c>
      <c r="H41" s="17">
        <f t="shared" si="85"/>
        <v>341.56437421250001</v>
      </c>
      <c r="I41" s="17">
        <f t="shared" si="85"/>
        <v>403.54553122863513</v>
      </c>
      <c r="J41" s="17">
        <f t="shared" si="85"/>
        <v>463.95788852204595</v>
      </c>
      <c r="K41" s="17">
        <f t="shared" ref="K41" si="86">K10+K19+K28+K37+K40</f>
        <v>495.55742606207946</v>
      </c>
      <c r="L41" s="17">
        <f t="shared" ref="L41" si="87">L10+L19+L28+L37+L40</f>
        <v>527.05354989907062</v>
      </c>
      <c r="M41" s="17">
        <f t="shared" ref="M41" si="88">M10+M19+M28+M37+M40</f>
        <v>557.00444552181557</v>
      </c>
      <c r="N41" s="17">
        <f t="shared" ref="N41" si="89">N10+N19+N28+N37+N40</f>
        <v>584.15485069511726</v>
      </c>
      <c r="O41" s="24">
        <f t="shared" ref="O41" si="90">O10+O19+O28+O37+O40</f>
        <v>609.54822110146006</v>
      </c>
    </row>
    <row r="42" spans="2:15">
      <c r="B42" s="23"/>
      <c r="C42" s="15"/>
      <c r="D42" s="15"/>
      <c r="E42" s="15"/>
      <c r="F42" s="17"/>
      <c r="G42" s="17"/>
      <c r="H42" s="17"/>
      <c r="I42" s="17"/>
      <c r="J42" s="17"/>
      <c r="O42" s="37"/>
    </row>
    <row r="43" spans="2:15">
      <c r="B43" s="27" t="s">
        <v>38</v>
      </c>
      <c r="C43" s="18"/>
      <c r="D43" s="15"/>
      <c r="E43" s="15"/>
      <c r="F43" s="17"/>
      <c r="G43" s="17"/>
      <c r="H43" s="17"/>
      <c r="I43" s="17"/>
      <c r="J43" s="17"/>
      <c r="O43" s="37"/>
    </row>
    <row r="44" spans="2:15">
      <c r="B44" s="23" t="s">
        <v>27</v>
      </c>
      <c r="C44" s="15">
        <f>C32+C23+C14+C5</f>
        <v>1287.9000000000001</v>
      </c>
      <c r="D44" s="15">
        <f t="shared" ref="D44:O44" si="91">D32+D23+D14+D5</f>
        <v>1357.1999999999998</v>
      </c>
      <c r="E44" s="15">
        <f t="shared" si="91"/>
        <v>1319</v>
      </c>
      <c r="F44" s="17">
        <f t="shared" si="91"/>
        <v>1493.4489999999998</v>
      </c>
      <c r="G44" s="17">
        <f t="shared" si="91"/>
        <v>1646.12995</v>
      </c>
      <c r="H44" s="17">
        <f t="shared" si="91"/>
        <v>1808.9781475</v>
      </c>
      <c r="I44" s="17">
        <f t="shared" si="91"/>
        <v>1974.9462927575003</v>
      </c>
      <c r="J44" s="17">
        <f t="shared" si="91"/>
        <v>2143.7361636821006</v>
      </c>
      <c r="K44" s="17">
        <f t="shared" si="91"/>
        <v>2288.0904722849573</v>
      </c>
      <c r="L44" s="17">
        <f t="shared" si="91"/>
        <v>2428.7374460633855</v>
      </c>
      <c r="M44" s="17">
        <f t="shared" si="91"/>
        <v>2564.2557160374763</v>
      </c>
      <c r="N44" s="17">
        <f t="shared" si="91"/>
        <v>2693.1920978019848</v>
      </c>
      <c r="O44" s="24">
        <f t="shared" si="91"/>
        <v>2812.1426716229603</v>
      </c>
    </row>
    <row r="45" spans="2:15">
      <c r="B45" s="23" t="s">
        <v>29</v>
      </c>
      <c r="C45" s="12"/>
      <c r="D45" s="12">
        <f>(D44-C44)/C44</f>
        <v>5.3808525506638498E-2</v>
      </c>
      <c r="E45" s="12">
        <f t="shared" ref="E45:J45" si="92">(E44-D44)/D44</f>
        <v>-2.814618331859698E-2</v>
      </c>
      <c r="F45" s="12">
        <f t="shared" si="92"/>
        <v>0.13225852918877926</v>
      </c>
      <c r="G45" s="12">
        <f t="shared" si="92"/>
        <v>0.10223378903464408</v>
      </c>
      <c r="H45" s="12">
        <f t="shared" si="92"/>
        <v>9.8927911189514509E-2</v>
      </c>
      <c r="I45" s="12">
        <f t="shared" si="92"/>
        <v>9.1746904453692574E-2</v>
      </c>
      <c r="J45" s="12">
        <f t="shared" si="92"/>
        <v>8.5465549895500731E-2</v>
      </c>
      <c r="K45" s="12">
        <f t="shared" ref="K45" si="93">(K44-J44)/J44</f>
        <v>6.7337721426928038E-2</v>
      </c>
      <c r="L45" s="12">
        <f t="shared" ref="L45" si="94">(L44-K44)/K44</f>
        <v>6.1469148830454172E-2</v>
      </c>
      <c r="M45" s="12">
        <f t="shared" ref="M45" si="95">(M44-L44)/L44</f>
        <v>5.579782623014494E-2</v>
      </c>
      <c r="N45" s="12">
        <f t="shared" ref="N45" si="96">(N44-M44)/M44</f>
        <v>5.0282185570693722E-2</v>
      </c>
      <c r="O45" s="119">
        <f t="shared" ref="O45" si="97">(O44-N44)/N44</f>
        <v>4.4167133090155547E-2</v>
      </c>
    </row>
    <row r="46" spans="2:15">
      <c r="B46" s="23" t="s">
        <v>30</v>
      </c>
      <c r="C46" s="15">
        <f>C35+C26+C17+C8</f>
        <v>548.3768</v>
      </c>
      <c r="D46" s="15">
        <f>D35+D26+D17+D8</f>
        <v>590.50710000000004</v>
      </c>
      <c r="E46" s="15">
        <f t="shared" ref="E46:O46" si="98">E35+E26+E17+E8</f>
        <v>585.88809999999989</v>
      </c>
      <c r="F46" s="17">
        <f t="shared" si="98"/>
        <v>646.82786999999996</v>
      </c>
      <c r="G46" s="17">
        <f t="shared" si="98"/>
        <v>734.82993824999994</v>
      </c>
      <c r="H46" s="17">
        <f t="shared" si="98"/>
        <v>815.55897281250009</v>
      </c>
      <c r="I46" s="17">
        <f t="shared" si="98"/>
        <v>902.15093416463515</v>
      </c>
      <c r="J46" s="17">
        <f t="shared" si="98"/>
        <v>983.34601857924599</v>
      </c>
      <c r="K46" s="17">
        <f t="shared" si="98"/>
        <v>1051.7097377399339</v>
      </c>
      <c r="L46" s="17">
        <f t="shared" si="98"/>
        <v>1118.306720634549</v>
      </c>
      <c r="M46" s="17">
        <f t="shared" si="98"/>
        <v>1182.48462562433</v>
      </c>
      <c r="N46" s="17">
        <f t="shared" si="98"/>
        <v>1242.6710290281717</v>
      </c>
      <c r="O46" s="24">
        <f t="shared" si="98"/>
        <v>1297.9641421712172</v>
      </c>
    </row>
    <row r="47" spans="2:15">
      <c r="B47" s="23" t="s">
        <v>11</v>
      </c>
      <c r="C47" s="13">
        <f>C46/C44</f>
        <v>0.42579144343504927</v>
      </c>
      <c r="D47" s="13">
        <f t="shared" ref="D47:J47" si="99">D46/D44</f>
        <v>0.43509217506631309</v>
      </c>
      <c r="E47" s="13">
        <f t="shared" si="99"/>
        <v>0.44419112964366936</v>
      </c>
      <c r="F47" s="19">
        <f t="shared" si="99"/>
        <v>0.43311011624769247</v>
      </c>
      <c r="G47" s="19">
        <f t="shared" si="99"/>
        <v>0.44639849864222442</v>
      </c>
      <c r="H47" s="19">
        <f t="shared" si="99"/>
        <v>0.45083959357917014</v>
      </c>
      <c r="I47" s="19">
        <f t="shared" si="99"/>
        <v>0.45679770506823014</v>
      </c>
      <c r="J47" s="14">
        <f t="shared" si="99"/>
        <v>0.4587066427476047</v>
      </c>
      <c r="K47" s="14">
        <f t="shared" ref="K47" si="100">K46/K44</f>
        <v>0.45964517158697149</v>
      </c>
      <c r="L47" s="14">
        <f t="shared" ref="L47" si="101">L46/L44</f>
        <v>0.46044776163317053</v>
      </c>
      <c r="M47" s="14">
        <f t="shared" ref="M47" si="102">M46/M44</f>
        <v>0.46114146035778908</v>
      </c>
      <c r="N47" s="14">
        <f t="shared" ref="N47" si="103">N46/N44</f>
        <v>0.46141195425397324</v>
      </c>
      <c r="O47" s="25">
        <f t="shared" ref="O47" si="104">O46/O44</f>
        <v>0.46155700251940934</v>
      </c>
    </row>
    <row r="48" spans="2:15">
      <c r="B48" s="23" t="s">
        <v>32</v>
      </c>
      <c r="C48" s="15">
        <f>C41</f>
        <v>161.67680000000004</v>
      </c>
      <c r="D48" s="15">
        <f t="shared" ref="D48:O48" si="105">D41</f>
        <v>181.50710000000004</v>
      </c>
      <c r="E48" s="15">
        <f t="shared" si="105"/>
        <v>171.68809999999996</v>
      </c>
      <c r="F48" s="15">
        <f t="shared" si="105"/>
        <v>213.0325366666666</v>
      </c>
      <c r="G48" s="15">
        <f t="shared" si="105"/>
        <v>281.96723825000004</v>
      </c>
      <c r="H48" s="15">
        <f t="shared" si="105"/>
        <v>341.56437421250001</v>
      </c>
      <c r="I48" s="15">
        <f t="shared" si="105"/>
        <v>403.54553122863513</v>
      </c>
      <c r="J48" s="15">
        <f t="shared" si="105"/>
        <v>463.95788852204595</v>
      </c>
      <c r="K48" s="15">
        <f t="shared" si="105"/>
        <v>495.55742606207946</v>
      </c>
      <c r="L48" s="15">
        <f t="shared" si="105"/>
        <v>527.05354989907062</v>
      </c>
      <c r="M48" s="15">
        <f t="shared" si="105"/>
        <v>557.00444552181557</v>
      </c>
      <c r="N48" s="15">
        <f t="shared" si="105"/>
        <v>584.15485069511726</v>
      </c>
      <c r="O48" s="26">
        <f t="shared" si="105"/>
        <v>609.54822110146006</v>
      </c>
    </row>
    <row r="49" spans="2:15" ht="17" thickBot="1">
      <c r="B49" s="28" t="s">
        <v>33</v>
      </c>
      <c r="C49" s="29">
        <f>C48/C44</f>
        <v>0.12553521236120818</v>
      </c>
      <c r="D49" s="29">
        <f t="shared" ref="D49:I49" si="106">D48/D44</f>
        <v>0.13373644267609788</v>
      </c>
      <c r="E49" s="29">
        <f t="shared" si="106"/>
        <v>0.13016535253980285</v>
      </c>
      <c r="F49" s="30">
        <f t="shared" si="106"/>
        <v>0.14264466792415853</v>
      </c>
      <c r="G49" s="30">
        <f t="shared" si="106"/>
        <v>0.17129099573821618</v>
      </c>
      <c r="H49" s="30">
        <f t="shared" si="106"/>
        <v>0.18881619696984206</v>
      </c>
      <c r="I49" s="30">
        <f t="shared" si="106"/>
        <v>0.20433240777661274</v>
      </c>
      <c r="J49" s="30">
        <f>J48/J44</f>
        <v>0.21642490171232065</v>
      </c>
      <c r="K49" s="30">
        <f t="shared" ref="K49:O49" si="107">K48/K44</f>
        <v>0.21658122004555205</v>
      </c>
      <c r="L49" s="30">
        <f t="shared" si="107"/>
        <v>0.21700721531400785</v>
      </c>
      <c r="M49" s="30">
        <f t="shared" si="107"/>
        <v>0.21721875943891822</v>
      </c>
      <c r="N49" s="30">
        <f t="shared" si="107"/>
        <v>0.21690055127217547</v>
      </c>
      <c r="O49" s="31">
        <f t="shared" si="107"/>
        <v>0.2167557952348392</v>
      </c>
    </row>
    <row r="50" spans="2:15" ht="17" thickBot="1"/>
    <row r="51" spans="2:15" ht="17" thickBot="1">
      <c r="B51" s="235" t="s">
        <v>50</v>
      </c>
      <c r="C51" s="236" t="str">
        <f>F4</f>
        <v>2026E</v>
      </c>
      <c r="D51" s="236" t="str">
        <f t="shared" ref="D51:G51" si="108">G4</f>
        <v>2027E</v>
      </c>
      <c r="E51" s="236" t="str">
        <f t="shared" si="108"/>
        <v>2028E</v>
      </c>
      <c r="F51" s="236" t="str">
        <f t="shared" si="108"/>
        <v>2029E</v>
      </c>
      <c r="G51" s="236" t="str">
        <f t="shared" si="108"/>
        <v>2030E</v>
      </c>
      <c r="H51" s="236" t="str">
        <f t="shared" ref="H51" si="109">K4</f>
        <v>2031E</v>
      </c>
      <c r="I51" s="236" t="str">
        <f t="shared" ref="I51" si="110">L4</f>
        <v>2032E</v>
      </c>
      <c r="J51" s="236" t="str">
        <f t="shared" ref="J51" si="111">M4</f>
        <v>2033E</v>
      </c>
      <c r="K51" s="236" t="str">
        <f t="shared" ref="K51:L51" si="112">N4</f>
        <v>2034E</v>
      </c>
      <c r="L51" s="237" t="str">
        <f t="shared" si="112"/>
        <v>2035E</v>
      </c>
    </row>
    <row r="52" spans="2:15">
      <c r="B52" s="27" t="s">
        <v>27</v>
      </c>
      <c r="C52" s="238">
        <f>F44</f>
        <v>1493.4489999999998</v>
      </c>
      <c r="D52" s="238">
        <f t="shared" ref="D52:G52" si="113">G44</f>
        <v>1646.12995</v>
      </c>
      <c r="E52" s="238">
        <f t="shared" si="113"/>
        <v>1808.9781475</v>
      </c>
      <c r="F52" s="238">
        <f t="shared" si="113"/>
        <v>1974.9462927575003</v>
      </c>
      <c r="G52" s="238">
        <f t="shared" si="113"/>
        <v>2143.7361636821006</v>
      </c>
      <c r="H52" s="238">
        <f t="shared" ref="H52" si="114">K44</f>
        <v>2288.0904722849573</v>
      </c>
      <c r="I52" s="238">
        <f t="shared" ref="I52" si="115">L44</f>
        <v>2428.7374460633855</v>
      </c>
      <c r="J52" s="238">
        <f t="shared" ref="J52" si="116">M44</f>
        <v>2564.2557160374763</v>
      </c>
      <c r="K52" s="238">
        <f t="shared" ref="K52" si="117">N44</f>
        <v>2693.1920978019848</v>
      </c>
      <c r="L52" s="26">
        <f t="shared" ref="L52" si="118">O44</f>
        <v>2812.1426716229603</v>
      </c>
    </row>
    <row r="53" spans="2:15">
      <c r="B53" s="27" t="s">
        <v>32</v>
      </c>
      <c r="C53" s="238">
        <f>F48</f>
        <v>213.0325366666666</v>
      </c>
      <c r="D53" s="238">
        <f t="shared" ref="D53:G54" si="119">G48</f>
        <v>281.96723825000004</v>
      </c>
      <c r="E53" s="238">
        <f t="shared" si="119"/>
        <v>341.56437421250001</v>
      </c>
      <c r="F53" s="238">
        <f t="shared" si="119"/>
        <v>403.54553122863513</v>
      </c>
      <c r="G53" s="238">
        <f t="shared" si="119"/>
        <v>463.95788852204595</v>
      </c>
      <c r="H53" s="238">
        <f t="shared" ref="H53:H54" si="120">K48</f>
        <v>495.55742606207946</v>
      </c>
      <c r="I53" s="238">
        <f t="shared" ref="I53:I54" si="121">L48</f>
        <v>527.05354989907062</v>
      </c>
      <c r="J53" s="238">
        <f t="shared" ref="J53:J54" si="122">M48</f>
        <v>557.00444552181557</v>
      </c>
      <c r="K53" s="238">
        <f t="shared" ref="K53:K54" si="123">N48</f>
        <v>584.15485069511726</v>
      </c>
      <c r="L53" s="26">
        <f t="shared" ref="L53:L54" si="124">O48</f>
        <v>609.54822110146006</v>
      </c>
    </row>
    <row r="54" spans="2:15">
      <c r="B54" s="27" t="s">
        <v>44</v>
      </c>
      <c r="C54" s="239">
        <f>F49</f>
        <v>0.14264466792415853</v>
      </c>
      <c r="D54" s="239">
        <f t="shared" si="119"/>
        <v>0.17129099573821618</v>
      </c>
      <c r="E54" s="239">
        <f t="shared" si="119"/>
        <v>0.18881619696984206</v>
      </c>
      <c r="F54" s="239">
        <f t="shared" si="119"/>
        <v>0.20433240777661274</v>
      </c>
      <c r="G54" s="239">
        <f t="shared" si="119"/>
        <v>0.21642490171232065</v>
      </c>
      <c r="H54" s="239">
        <f t="shared" si="120"/>
        <v>0.21658122004555205</v>
      </c>
      <c r="I54" s="239">
        <f t="shared" si="121"/>
        <v>0.21700721531400785</v>
      </c>
      <c r="J54" s="239">
        <f t="shared" si="122"/>
        <v>0.21721875943891822</v>
      </c>
      <c r="K54" s="239">
        <f t="shared" si="123"/>
        <v>0.21690055127217547</v>
      </c>
      <c r="L54" s="36">
        <f t="shared" si="124"/>
        <v>0.2167557952348392</v>
      </c>
    </row>
    <row r="55" spans="2:15">
      <c r="B55" s="27" t="s">
        <v>59</v>
      </c>
      <c r="C55" s="238">
        <f>C52*Antagelser!C71</f>
        <v>29.868979999999997</v>
      </c>
      <c r="D55" s="238">
        <f>D52*Antagelser!D71</f>
        <v>31.276469049999999</v>
      </c>
      <c r="E55" s="238">
        <f>E52*Antagelser!E71</f>
        <v>32.561606654999999</v>
      </c>
      <c r="F55" s="238">
        <f>F52*Antagelser!F71</f>
        <v>33.57408697687751</v>
      </c>
      <c r="G55" s="238">
        <f>G52*Antagelser!G71</f>
        <v>36.443514782595713</v>
      </c>
      <c r="H55" s="238">
        <f>H52*Antagelser!H71</f>
        <v>36.609447556559317</v>
      </c>
      <c r="I55" s="238">
        <f>I52*Antagelser!I71</f>
        <v>36.431061690950784</v>
      </c>
      <c r="J55" s="238">
        <f>J52*Antagelser!J71</f>
        <v>35.899580024524667</v>
      </c>
      <c r="K55" s="238">
        <f>K52*Antagelser!K71</f>
        <v>35.011497271425803</v>
      </c>
      <c r="L55" s="26">
        <f>L52*Antagelser!L71</f>
        <v>33.745712059475522</v>
      </c>
    </row>
    <row r="56" spans="2:15">
      <c r="B56" s="27" t="s">
        <v>60</v>
      </c>
      <c r="C56" s="238">
        <f>C53-C55</f>
        <v>183.16355666666661</v>
      </c>
      <c r="D56" s="238">
        <f t="shared" ref="D56:G56" si="125">D53-D55</f>
        <v>250.69076920000003</v>
      </c>
      <c r="E56" s="238">
        <f t="shared" si="125"/>
        <v>309.00276755750002</v>
      </c>
      <c r="F56" s="238">
        <f t="shared" si="125"/>
        <v>369.97144425175759</v>
      </c>
      <c r="G56" s="238">
        <f t="shared" si="125"/>
        <v>427.51437373945021</v>
      </c>
      <c r="H56" s="238">
        <f t="shared" ref="H56" si="126">H53-H55</f>
        <v>458.94797850552015</v>
      </c>
      <c r="I56" s="238">
        <f t="shared" ref="I56" si="127">I53-I55</f>
        <v>490.62248820811982</v>
      </c>
      <c r="J56" s="238">
        <f t="shared" ref="J56" si="128">J53-J55</f>
        <v>521.10486549729092</v>
      </c>
      <c r="K56" s="238">
        <f t="shared" ref="K56" si="129">K53-K55</f>
        <v>549.14335342369145</v>
      </c>
      <c r="L56" s="26">
        <f t="shared" ref="L56" si="130">L53-L55</f>
        <v>575.80250904198454</v>
      </c>
    </row>
    <row r="57" spans="2:15">
      <c r="B57" s="27" t="s">
        <v>52</v>
      </c>
      <c r="C57" s="240">
        <f>Antagelser!C72</f>
        <v>0.24</v>
      </c>
      <c r="D57" s="240">
        <f>Antagelser!D72</f>
        <v>0.24</v>
      </c>
      <c r="E57" s="240">
        <f>Antagelser!E72</f>
        <v>0.24</v>
      </c>
      <c r="F57" s="240">
        <f>Antagelser!F72</f>
        <v>0.24</v>
      </c>
      <c r="G57" s="240">
        <f>Antagelser!G72</f>
        <v>0.24</v>
      </c>
      <c r="H57" s="240">
        <f>Antagelser!H72</f>
        <v>0.24</v>
      </c>
      <c r="I57" s="240">
        <f>Antagelser!I72</f>
        <v>0.24</v>
      </c>
      <c r="J57" s="240">
        <f>Antagelser!J72</f>
        <v>0.24</v>
      </c>
      <c r="K57" s="240">
        <f>Antagelser!K72</f>
        <v>0.24</v>
      </c>
      <c r="L57" s="40">
        <f>Antagelser!L72</f>
        <v>0.24</v>
      </c>
    </row>
    <row r="58" spans="2:15">
      <c r="B58" s="27" t="s">
        <v>53</v>
      </c>
      <c r="C58" s="238">
        <f>C56*(1-C57)</f>
        <v>139.20430306666663</v>
      </c>
      <c r="D58" s="238">
        <f t="shared" ref="D58:G58" si="131">D56*(1-D57)</f>
        <v>190.52498459200004</v>
      </c>
      <c r="E58" s="238">
        <f t="shared" si="131"/>
        <v>234.84210334370002</v>
      </c>
      <c r="F58" s="238">
        <f t="shared" si="131"/>
        <v>281.17829763133579</v>
      </c>
      <c r="G58" s="238">
        <f t="shared" si="131"/>
        <v>324.91092404198218</v>
      </c>
      <c r="H58" s="238">
        <f t="shared" ref="H58" si="132">H56*(1-H57)</f>
        <v>348.80046366419532</v>
      </c>
      <c r="I58" s="238">
        <f t="shared" ref="I58" si="133">I56*(1-I57)</f>
        <v>372.87309103817108</v>
      </c>
      <c r="J58" s="238">
        <f t="shared" ref="J58" si="134">J56*(1-J57)</f>
        <v>396.03969777794111</v>
      </c>
      <c r="K58" s="238">
        <f t="shared" ref="K58" si="135">K56*(1-K57)</f>
        <v>417.34894860200552</v>
      </c>
      <c r="L58" s="26">
        <f t="shared" ref="L58" si="136">L56*(1-L57)</f>
        <v>437.60990687190827</v>
      </c>
    </row>
    <row r="59" spans="2:15">
      <c r="B59" s="27" t="s">
        <v>58</v>
      </c>
      <c r="C59" s="238">
        <f>C52*Antagelser!C73</f>
        <v>126.94316499999999</v>
      </c>
      <c r="D59" s="238">
        <f>D52*Antagelser!D73</f>
        <v>136.62878585000001</v>
      </c>
      <c r="E59" s="238">
        <f>E52*Antagelser!E73</f>
        <v>144.71825179999999</v>
      </c>
      <c r="F59" s="238">
        <f>F52*Antagelser!F73</f>
        <v>154.04581083508501</v>
      </c>
      <c r="G59" s="238">
        <f>G52*Antagelser!G73</f>
        <v>160.78021227615753</v>
      </c>
      <c r="H59" s="238">
        <f>H52*Antagelser!H73</f>
        <v>167.03060447680187</v>
      </c>
      <c r="I59" s="238">
        <f>I52*Antagelser!I73</f>
        <v>172.44035867050036</v>
      </c>
      <c r="J59" s="238">
        <f>J52*Antagelser!J73</f>
        <v>176.93364440658587</v>
      </c>
      <c r="K59" s="238">
        <f>K52*Antagelser!K73</f>
        <v>180.44387055273299</v>
      </c>
      <c r="L59" s="26">
        <f>L52*Antagelser!L73</f>
        <v>182.78927365549242</v>
      </c>
    </row>
    <row r="60" spans="2:15">
      <c r="B60" s="27" t="s">
        <v>54</v>
      </c>
      <c r="C60" s="238">
        <f>C52*Antagelser!C74</f>
        <v>141.87765499999998</v>
      </c>
      <c r="D60" s="238">
        <f>D52*Antagelser!D74</f>
        <v>139.92104575000002</v>
      </c>
      <c r="E60" s="238">
        <f>E52*Antagelser!E74</f>
        <v>144.71825179999999</v>
      </c>
      <c r="F60" s="238">
        <f>F52*Antagelser!F74</f>
        <v>148.12097195681253</v>
      </c>
      <c r="G60" s="238">
        <f>G52*Antagelser!G74</f>
        <v>150.06153145774707</v>
      </c>
      <c r="H60" s="238">
        <f>H52*Antagelser!H74</f>
        <v>160.16633305994702</v>
      </c>
      <c r="I60" s="238">
        <f>I52*Antagelser!I74</f>
        <v>170.01162122443699</v>
      </c>
      <c r="J60" s="238">
        <f>J52*Antagelser!J74</f>
        <v>176.93364440658587</v>
      </c>
      <c r="K60" s="238">
        <f>K52*Antagelser!K74</f>
        <v>183.13706265053497</v>
      </c>
      <c r="L60" s="26">
        <f>L52*Antagelser!L74</f>
        <v>191.2257016703613</v>
      </c>
    </row>
    <row r="61" spans="2:15">
      <c r="B61" s="27" t="s">
        <v>12</v>
      </c>
      <c r="C61" s="238">
        <f>C52*Antagelser!C75</f>
        <v>358.42775999999992</v>
      </c>
      <c r="D61" s="238">
        <f>D52*Antagelser!D75</f>
        <v>370.37923875000001</v>
      </c>
      <c r="E61" s="238">
        <f>E52*Antagelser!E75</f>
        <v>379.88541097499996</v>
      </c>
      <c r="F61" s="238">
        <f>F52*Antagelser!F75</f>
        <v>404.86399001528753</v>
      </c>
      <c r="G61" s="238">
        <f>G52*Antagelser!G75</f>
        <v>428.74723273642013</v>
      </c>
      <c r="H61" s="238">
        <f>H52*Antagelser!H75</f>
        <v>457.61809445699146</v>
      </c>
      <c r="I61" s="238">
        <f>I52*Antagelser!I75</f>
        <v>480.89001432055034</v>
      </c>
      <c r="J61" s="238">
        <f>J52*Antagelser!J75</f>
        <v>505.15837605938276</v>
      </c>
      <c r="K61" s="238">
        <f>K52*Antagelser!K75</f>
        <v>527.86565116918905</v>
      </c>
      <c r="L61" s="26">
        <f>L52*Antagelser!L75</f>
        <v>548.36782096647732</v>
      </c>
    </row>
    <row r="62" spans="2:15" ht="17" thickBot="1">
      <c r="B62" s="27" t="s">
        <v>55</v>
      </c>
      <c r="C62" s="238">
        <f>C61-'Historiske finansielle tall'!J35</f>
        <v>29.727759999999932</v>
      </c>
      <c r="D62" s="238">
        <f>D61-C61</f>
        <v>11.951478750000092</v>
      </c>
      <c r="E62" s="238">
        <f t="shared" ref="E62:G62" si="137">E61-D61</f>
        <v>9.5061722249999434</v>
      </c>
      <c r="F62" s="238">
        <f t="shared" si="137"/>
        <v>24.97857904028757</v>
      </c>
      <c r="G62" s="238">
        <f t="shared" si="137"/>
        <v>23.883242721132603</v>
      </c>
      <c r="H62" s="238">
        <f t="shared" ref="H62" si="138">H61-G61</f>
        <v>28.870861720571327</v>
      </c>
      <c r="I62" s="238">
        <f t="shared" ref="I62" si="139">I61-H61</f>
        <v>23.271919863558878</v>
      </c>
      <c r="J62" s="238">
        <f t="shared" ref="J62" si="140">J61-I61</f>
        <v>24.268361738832425</v>
      </c>
      <c r="K62" s="238">
        <f t="shared" ref="K62" si="141">K61-J61</f>
        <v>22.707275109806289</v>
      </c>
      <c r="L62" s="26">
        <f t="shared" ref="L62" si="142">L61-K61</f>
        <v>20.502169797288275</v>
      </c>
    </row>
    <row r="63" spans="2:15" ht="17" thickBot="1">
      <c r="B63" s="184" t="s">
        <v>56</v>
      </c>
      <c r="C63" s="230">
        <f>C58+C59-C60-C62</f>
        <v>94.542053066666739</v>
      </c>
      <c r="D63" s="230">
        <f t="shared" ref="D63:G63" si="143">D58+D59-D60-D62</f>
        <v>175.28124594199994</v>
      </c>
      <c r="E63" s="230">
        <f t="shared" si="143"/>
        <v>225.33593111870007</v>
      </c>
      <c r="F63" s="230">
        <f t="shared" si="143"/>
        <v>262.12455746932073</v>
      </c>
      <c r="G63" s="230">
        <f t="shared" si="143"/>
        <v>311.74636213926004</v>
      </c>
      <c r="H63" s="230">
        <f t="shared" ref="H63" si="144">H58+H59-H60-H62</f>
        <v>326.79387336047887</v>
      </c>
      <c r="I63" s="230">
        <f t="shared" ref="I63" si="145">I58+I59-I60-I62</f>
        <v>352.02990862067554</v>
      </c>
      <c r="J63" s="230">
        <f t="shared" ref="J63" si="146">J58+J59-J60-J62</f>
        <v>371.77133603910863</v>
      </c>
      <c r="K63" s="230">
        <f t="shared" ref="K63:L63" si="147">K58+K59-K60-K62</f>
        <v>391.94848139439722</v>
      </c>
      <c r="L63" s="59">
        <f t="shared" si="147"/>
        <v>408.67130905975102</v>
      </c>
    </row>
    <row r="64" spans="2:15" ht="17" thickBot="1">
      <c r="B64" s="115" t="s">
        <v>57</v>
      </c>
      <c r="C64" s="55">
        <f>C63/C52</f>
        <v>6.3304507262495577E-2</v>
      </c>
      <c r="D64" s="55">
        <f t="shared" ref="D64:G64" si="148">D63/D52</f>
        <v>0.10648080726676526</v>
      </c>
      <c r="E64" s="55">
        <f t="shared" si="148"/>
        <v>0.1245653140863605</v>
      </c>
      <c r="F64" s="55">
        <f t="shared" si="148"/>
        <v>0.13272490418123309</v>
      </c>
      <c r="G64" s="55">
        <f t="shared" si="148"/>
        <v>0.14542198215465174</v>
      </c>
      <c r="H64" s="55">
        <f t="shared" ref="H64" si="149">H63/H52</f>
        <v>0.14282384255292688</v>
      </c>
      <c r="I64" s="55">
        <f t="shared" ref="I64" si="150">I63/I52</f>
        <v>0.1449435834207862</v>
      </c>
      <c r="J64" s="55">
        <f t="shared" ref="J64" si="151">J63/J52</f>
        <v>0.14498216137882064</v>
      </c>
      <c r="K64" s="55">
        <f t="shared" ref="K64" si="152">K63/K52</f>
        <v>0.14553305785884382</v>
      </c>
      <c r="L64" s="56">
        <f t="shared" ref="L64" si="153">L63/L52</f>
        <v>0.14532381773642239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C333-1E39-1C45-A905-8D2A44AB77D8}">
  <dimension ref="A2:M102"/>
  <sheetViews>
    <sheetView topLeftCell="A83" zoomScaleNormal="109" workbookViewId="0">
      <selection activeCell="B10" sqref="B10"/>
    </sheetView>
  </sheetViews>
  <sheetFormatPr baseColWidth="10" defaultRowHeight="16"/>
  <cols>
    <col min="2" max="2" width="26.1640625" customWidth="1"/>
    <col min="3" max="3" width="12.6640625" bestFit="1" customWidth="1"/>
    <col min="4" max="6" width="11.6640625" bestFit="1" customWidth="1"/>
    <col min="7" max="7" width="12.6640625" bestFit="1" customWidth="1"/>
    <col min="8" max="8" width="11.6640625" bestFit="1" customWidth="1"/>
  </cols>
  <sheetData>
    <row r="2" spans="2:13" ht="19">
      <c r="B2" s="231" t="s">
        <v>247</v>
      </c>
    </row>
    <row r="4" spans="2:13">
      <c r="B4" s="58" t="s">
        <v>86</v>
      </c>
      <c r="C4" s="58"/>
    </row>
    <row r="5" spans="2:13">
      <c r="B5" s="58" t="s">
        <v>84</v>
      </c>
      <c r="C5" s="58">
        <f>'Historiske finansielle tall'!C5</f>
        <v>296040156</v>
      </c>
    </row>
    <row r="6" spans="2:13">
      <c r="B6" s="58" t="s">
        <v>87</v>
      </c>
      <c r="C6" s="58">
        <v>10.92</v>
      </c>
    </row>
    <row r="7" spans="2:13" s="94" customFormat="1">
      <c r="B7" s="150"/>
      <c r="C7" s="150"/>
    </row>
    <row r="9" spans="2:13">
      <c r="B9" s="63" t="s">
        <v>66</v>
      </c>
    </row>
    <row r="10" spans="2:13">
      <c r="M10" t="s">
        <v>145</v>
      </c>
    </row>
    <row r="11" spans="2:13">
      <c r="B11" t="s">
        <v>50</v>
      </c>
      <c r="C11" s="8" t="s">
        <v>39</v>
      </c>
      <c r="D11" s="8" t="s">
        <v>40</v>
      </c>
      <c r="E11" s="8" t="s">
        <v>41</v>
      </c>
      <c r="F11" s="8" t="s">
        <v>42</v>
      </c>
      <c r="G11" s="8" t="s">
        <v>43</v>
      </c>
      <c r="H11" s="8" t="s">
        <v>72</v>
      </c>
      <c r="I11" s="8" t="s">
        <v>135</v>
      </c>
      <c r="J11" s="8" t="s">
        <v>136</v>
      </c>
      <c r="K11" s="8" t="s">
        <v>137</v>
      </c>
      <c r="L11" s="8" t="s">
        <v>138</v>
      </c>
      <c r="M11" s="8" t="s">
        <v>146</v>
      </c>
    </row>
    <row r="12" spans="2:13">
      <c r="B12" t="s">
        <v>56</v>
      </c>
      <c r="C12" s="15">
        <f>'Forecast Base'!C63</f>
        <v>59.581252833333366</v>
      </c>
      <c r="D12" s="15">
        <f>'Forecast Base'!D63</f>
        <v>116.88699427799992</v>
      </c>
      <c r="E12" s="15">
        <f>'Forecast Base'!E63</f>
        <v>148.41650264038009</v>
      </c>
      <c r="F12" s="15">
        <f>'Forecast Base'!F63</f>
        <v>179.70210192074202</v>
      </c>
      <c r="G12" s="15">
        <f>'Forecast Base'!G63</f>
        <v>208.21050327180606</v>
      </c>
      <c r="H12" s="15">
        <f>'Forecast Base'!H63</f>
        <v>218.89801797879306</v>
      </c>
      <c r="I12" s="15">
        <f>'Forecast Base'!I63</f>
        <v>236.68222072662672</v>
      </c>
      <c r="J12" s="15">
        <f>'Forecast Base'!J63</f>
        <v>248.37162647625354</v>
      </c>
      <c r="K12" s="15">
        <f>'Forecast Base'!K63</f>
        <v>254.54528755896968</v>
      </c>
      <c r="L12" s="15">
        <f>'Forecast Base'!L63</f>
        <v>258.44688238993155</v>
      </c>
      <c r="M12">
        <f>L12*(1+C14)</f>
        <v>263.6158200377302</v>
      </c>
    </row>
    <row r="13" spans="2:13">
      <c r="B13" t="s">
        <v>65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</row>
    <row r="14" spans="2:13">
      <c r="B14" t="s">
        <v>70</v>
      </c>
      <c r="C14" s="9">
        <v>0.02</v>
      </c>
    </row>
    <row r="15" spans="2:13">
      <c r="B15" t="s">
        <v>69</v>
      </c>
      <c r="C15" s="1">
        <f>WACC!C32</f>
        <v>8.3234859677126877E-2</v>
      </c>
    </row>
    <row r="16" spans="2:13">
      <c r="B16" t="s">
        <v>67</v>
      </c>
      <c r="C16" s="15">
        <f>1/(1+$C$15)^C13</f>
        <v>0.92316083725191767</v>
      </c>
      <c r="D16" s="15">
        <f t="shared" ref="D16:L16" si="0">1/(1+$C$15)^D13</f>
        <v>0.85222593143566172</v>
      </c>
      <c r="E16" s="15">
        <f t="shared" si="0"/>
        <v>0.78674160439194085</v>
      </c>
      <c r="F16" s="15">
        <f t="shared" si="0"/>
        <v>0.72628903821138113</v>
      </c>
      <c r="G16" s="15">
        <f t="shared" si="0"/>
        <v>0.67048159660210871</v>
      </c>
      <c r="H16" s="15">
        <f t="shared" si="0"/>
        <v>0.6189623520812052</v>
      </c>
      <c r="I16" s="15">
        <f t="shared" si="0"/>
        <v>0.57140180317470168</v>
      </c>
      <c r="J16" s="15">
        <f t="shared" si="0"/>
        <v>0.52749576702601308</v>
      </c>
      <c r="K16" s="15">
        <f t="shared" si="0"/>
        <v>0.48696343393457681</v>
      </c>
      <c r="L16" s="15">
        <f t="shared" si="0"/>
        <v>0.44954557138211282</v>
      </c>
    </row>
    <row r="17" spans="2:12">
      <c r="B17" t="s">
        <v>68</v>
      </c>
      <c r="C17" s="15">
        <f>C12*C16</f>
        <v>55.003079250138221</v>
      </c>
      <c r="D17" s="15">
        <f t="shared" ref="D17:G17" si="1">D12*D16</f>
        <v>99.614127571283348</v>
      </c>
      <c r="E17" s="15">
        <f t="shared" si="1"/>
        <v>116.76543740553336</v>
      </c>
      <c r="F17" s="15">
        <f t="shared" si="1"/>
        <v>130.51566676857931</v>
      </c>
      <c r="G17" s="15">
        <f t="shared" si="1"/>
        <v>139.60131066300912</v>
      </c>
      <c r="H17" s="15">
        <f>H12*H16</f>
        <v>135.48963207406769</v>
      </c>
      <c r="I17" s="15">
        <f t="shared" ref="I17:L17" si="2">I12*I16</f>
        <v>135.24064770258727</v>
      </c>
      <c r="J17" s="15">
        <f t="shared" si="2"/>
        <v>131.01498161558979</v>
      </c>
      <c r="K17" s="15">
        <f t="shared" si="2"/>
        <v>123.95424732158018</v>
      </c>
      <c r="L17" s="15">
        <f t="shared" si="2"/>
        <v>116.18365141590749</v>
      </c>
    </row>
    <row r="18" spans="2:12">
      <c r="B18" t="s">
        <v>73</v>
      </c>
      <c r="C18" s="15"/>
      <c r="D18" s="15"/>
      <c r="E18" s="15"/>
      <c r="F18" s="15"/>
      <c r="G18" s="15"/>
      <c r="L18">
        <f>M12/(C15-C14)</f>
        <v>4168.8369577118638</v>
      </c>
    </row>
    <row r="19" spans="2:12">
      <c r="B19" t="s">
        <v>75</v>
      </c>
      <c r="C19" s="15"/>
      <c r="D19" s="15"/>
      <c r="E19" s="15"/>
      <c r="F19" s="15"/>
      <c r="G19" s="15"/>
      <c r="L19">
        <f>L18*L16</f>
        <v>1874.0821921534487</v>
      </c>
    </row>
    <row r="20" spans="2:12">
      <c r="B20" t="s">
        <v>74</v>
      </c>
      <c r="C20" s="15">
        <f>C17+D17+E17+F17+G17+H17+I17+J17+L17+K17+L19</f>
        <v>3057.4649739417246</v>
      </c>
      <c r="D20" s="15"/>
      <c r="E20" s="15"/>
      <c r="F20" s="15"/>
      <c r="G20" s="15"/>
    </row>
    <row r="21" spans="2:12">
      <c r="B21" s="58" t="s">
        <v>77</v>
      </c>
      <c r="C21">
        <f>505+55-69</f>
        <v>491</v>
      </c>
    </row>
    <row r="22" spans="2:12">
      <c r="B22" s="58" t="s">
        <v>109</v>
      </c>
      <c r="C22">
        <f>105+44</f>
        <v>149</v>
      </c>
    </row>
    <row r="23" spans="2:12">
      <c r="B23" s="58" t="s">
        <v>76</v>
      </c>
      <c r="C23">
        <v>40</v>
      </c>
    </row>
    <row r="24" spans="2:12">
      <c r="B24" s="58" t="s">
        <v>79</v>
      </c>
      <c r="C24">
        <v>0</v>
      </c>
    </row>
    <row r="25" spans="2:12">
      <c r="B25" s="60" t="s">
        <v>80</v>
      </c>
      <c r="C25" s="61">
        <f>C20-C21-C22-C23-C24</f>
        <v>2377.4649739417246</v>
      </c>
    </row>
    <row r="26" spans="2:12">
      <c r="C26" s="15"/>
    </row>
    <row r="27" spans="2:12">
      <c r="B27" t="s">
        <v>81</v>
      </c>
      <c r="C27" s="15">
        <f>C25/(C5/1000000)</f>
        <v>8.0308867758525455</v>
      </c>
    </row>
    <row r="28" spans="2:12">
      <c r="B28" s="4" t="s">
        <v>82</v>
      </c>
      <c r="C28" s="18">
        <f>C27*C6</f>
        <v>87.697283592309802</v>
      </c>
    </row>
    <row r="30" spans="2:12" s="62" customFormat="1"/>
    <row r="33" spans="2:13">
      <c r="B33" s="63" t="s">
        <v>88</v>
      </c>
    </row>
    <row r="34" spans="2:13">
      <c r="M34" t="s">
        <v>145</v>
      </c>
    </row>
    <row r="35" spans="2:13">
      <c r="B35" t="s">
        <v>50</v>
      </c>
      <c r="C35" s="8" t="s">
        <v>39</v>
      </c>
      <c r="D35" s="8" t="s">
        <v>40</v>
      </c>
      <c r="E35" s="8" t="s">
        <v>41</v>
      </c>
      <c r="F35" s="8" t="s">
        <v>42</v>
      </c>
      <c r="G35" s="8" t="s">
        <v>43</v>
      </c>
      <c r="H35" s="8" t="s">
        <v>72</v>
      </c>
      <c r="I35" s="8" t="s">
        <v>135</v>
      </c>
      <c r="J35" s="8" t="s">
        <v>136</v>
      </c>
      <c r="K35" s="8" t="s">
        <v>137</v>
      </c>
      <c r="L35" s="8" t="s">
        <v>138</v>
      </c>
      <c r="M35" s="8" t="s">
        <v>146</v>
      </c>
    </row>
    <row r="36" spans="2:13">
      <c r="B36" t="s">
        <v>56</v>
      </c>
      <c r="C36" s="15">
        <f>'Forecast Bear'!C63</f>
        <v>30.923465000000022</v>
      </c>
      <c r="D36" s="15">
        <f>'Forecast Bear'!D63</f>
        <v>80.663166750000045</v>
      </c>
      <c r="E36" s="15">
        <f>'Forecast Bear'!E63</f>
        <v>96.361654387999948</v>
      </c>
      <c r="F36" s="15">
        <f>'Forecast Bear'!F63</f>
        <v>116.62594484258003</v>
      </c>
      <c r="G36" s="15">
        <f>'Forecast Bear'!G63</f>
        <v>132.33097574919688</v>
      </c>
      <c r="H36" s="15">
        <f>'Forecast Bear'!H63</f>
        <v>127.26810282880552</v>
      </c>
      <c r="I36" s="15">
        <f>'Forecast Bear'!I63</f>
        <v>144.05242751668936</v>
      </c>
      <c r="J36" s="15">
        <f>'Forecast Bear'!J63</f>
        <v>157.05318328869228</v>
      </c>
      <c r="K36" s="15">
        <f>'Forecast Bear'!K63</f>
        <v>162.6998645453219</v>
      </c>
      <c r="L36" s="15">
        <f>'Forecast Bear'!L63</f>
        <v>171.20359113159304</v>
      </c>
      <c r="M36" s="15">
        <f>L36*(1+C38)</f>
        <v>174.62766295422492</v>
      </c>
    </row>
    <row r="37" spans="2:13">
      <c r="B37" t="s">
        <v>65</v>
      </c>
      <c r="C37">
        <v>1</v>
      </c>
      <c r="D37">
        <v>2</v>
      </c>
      <c r="E37">
        <v>3</v>
      </c>
      <c r="F37">
        <v>4</v>
      </c>
      <c r="G37">
        <v>5</v>
      </c>
      <c r="H37">
        <v>6</v>
      </c>
      <c r="I37">
        <v>7</v>
      </c>
      <c r="J37">
        <v>8</v>
      </c>
      <c r="K37">
        <v>9</v>
      </c>
      <c r="L37">
        <v>10</v>
      </c>
    </row>
    <row r="38" spans="2:13">
      <c r="B38" t="s">
        <v>70</v>
      </c>
      <c r="C38" s="9">
        <v>0.02</v>
      </c>
    </row>
    <row r="39" spans="2:13">
      <c r="B39" t="s">
        <v>69</v>
      </c>
      <c r="C39" s="1">
        <f>C15</f>
        <v>8.3234859677126877E-2</v>
      </c>
    </row>
    <row r="40" spans="2:13">
      <c r="B40" t="s">
        <v>67</v>
      </c>
      <c r="C40" s="15">
        <f>1/(1+$C$39)^C37</f>
        <v>0.92316083725191767</v>
      </c>
      <c r="D40" s="15">
        <f t="shared" ref="D40:F40" si="3">1/(1+$C$39)^D37</f>
        <v>0.85222593143566172</v>
      </c>
      <c r="E40" s="15">
        <f t="shared" si="3"/>
        <v>0.78674160439194085</v>
      </c>
      <c r="F40" s="15">
        <f t="shared" si="3"/>
        <v>0.72628903821138113</v>
      </c>
      <c r="G40" s="15">
        <f>1/(1+$C$39)^G37</f>
        <v>0.67048159660210871</v>
      </c>
      <c r="H40" s="15">
        <f t="shared" ref="H40:L40" si="4">1/(1+$C$39)^H37</f>
        <v>0.6189623520812052</v>
      </c>
      <c r="I40" s="15">
        <f t="shared" si="4"/>
        <v>0.57140180317470168</v>
      </c>
      <c r="J40" s="15">
        <f t="shared" si="4"/>
        <v>0.52749576702601308</v>
      </c>
      <c r="K40" s="15">
        <f t="shared" si="4"/>
        <v>0.48696343393457681</v>
      </c>
      <c r="L40" s="15">
        <f t="shared" si="4"/>
        <v>0.44954557138211282</v>
      </c>
    </row>
    <row r="41" spans="2:13">
      <c r="B41" t="s">
        <v>68</v>
      </c>
      <c r="C41" s="15">
        <f>C36*C40</f>
        <v>28.547331840130393</v>
      </c>
      <c r="D41" s="15">
        <f t="shared" ref="D41" si="5">D36*D40</f>
        <v>68.743242416068881</v>
      </c>
      <c r="E41" s="15">
        <f t="shared" ref="E41" si="6">E36*E40</f>
        <v>75.811722575076786</v>
      </c>
      <c r="F41" s="15">
        <f t="shared" ref="F41" si="7">F36*F40</f>
        <v>84.704145310211032</v>
      </c>
      <c r="G41" s="15">
        <f t="shared" ref="G41" si="8">G36*G40</f>
        <v>88.725483900236455</v>
      </c>
      <c r="H41" s="15">
        <f>H36*H40</f>
        <v>78.774164271830159</v>
      </c>
      <c r="I41" s="15">
        <f>I36*I40</f>
        <v>82.311816834729314</v>
      </c>
      <c r="J41" s="15">
        <f>J36*J40</f>
        <v>82.844889382745748</v>
      </c>
      <c r="K41" s="15">
        <f>K36*K40</f>
        <v>79.228884739680453</v>
      </c>
      <c r="L41" s="15">
        <f>L36*L40</f>
        <v>76.963816197921616</v>
      </c>
    </row>
    <row r="42" spans="2:13">
      <c r="B42" t="s">
        <v>73</v>
      </c>
      <c r="C42" s="15"/>
      <c r="D42" s="15"/>
      <c r="E42" s="15"/>
      <c r="F42" s="15"/>
      <c r="G42" s="15"/>
      <c r="L42">
        <f>M36/(C39-C38)</f>
        <v>2761.5727123593306</v>
      </c>
    </row>
    <row r="43" spans="2:13">
      <c r="B43" t="s">
        <v>75</v>
      </c>
      <c r="C43" s="15"/>
      <c r="D43" s="15"/>
      <c r="E43" s="15"/>
      <c r="F43" s="15"/>
      <c r="G43" s="15"/>
      <c r="L43">
        <f>L42*L40</f>
        <v>1241.4527828908263</v>
      </c>
    </row>
    <row r="44" spans="2:13">
      <c r="B44" t="s">
        <v>74</v>
      </c>
      <c r="C44" s="15">
        <f>C41+D41+E41+F41+G41+H41+I41+J41+K41+L41+L43</f>
        <v>1988.108280359457</v>
      </c>
      <c r="D44" s="15"/>
      <c r="E44" s="15"/>
      <c r="F44" s="15"/>
      <c r="G44" s="15"/>
    </row>
    <row r="45" spans="2:13">
      <c r="B45" s="58" t="s">
        <v>77</v>
      </c>
      <c r="C45">
        <f>505+55-69</f>
        <v>491</v>
      </c>
    </row>
    <row r="46" spans="2:13">
      <c r="B46" s="58" t="s">
        <v>109</v>
      </c>
      <c r="C46">
        <f>105+44</f>
        <v>149</v>
      </c>
    </row>
    <row r="47" spans="2:13">
      <c r="B47" s="58" t="s">
        <v>76</v>
      </c>
      <c r="C47">
        <v>40</v>
      </c>
    </row>
    <row r="48" spans="2:13">
      <c r="B48" s="58" t="s">
        <v>79</v>
      </c>
      <c r="C48">
        <v>0</v>
      </c>
    </row>
    <row r="49" spans="2:13">
      <c r="B49" s="60" t="s">
        <v>80</v>
      </c>
      <c r="C49" s="61">
        <f>C44-C45-C46-C47-C48</f>
        <v>1308.108280359457</v>
      </c>
    </row>
    <row r="50" spans="2:13">
      <c r="C50" s="15"/>
    </row>
    <row r="51" spans="2:13">
      <c r="B51" t="s">
        <v>81</v>
      </c>
      <c r="C51" s="15">
        <f>C49/(C5/1000000)</f>
        <v>4.4186852825447671</v>
      </c>
    </row>
    <row r="52" spans="2:13">
      <c r="B52" s="4" t="s">
        <v>82</v>
      </c>
      <c r="C52" s="18">
        <f>C51*C6</f>
        <v>48.252043285388858</v>
      </c>
    </row>
    <row r="54" spans="2:13" s="62" customFormat="1"/>
    <row r="57" spans="2:13">
      <c r="B57" s="63" t="s">
        <v>89</v>
      </c>
    </row>
    <row r="58" spans="2:13">
      <c r="M58" t="s">
        <v>71</v>
      </c>
    </row>
    <row r="59" spans="2:13">
      <c r="B59" t="s">
        <v>50</v>
      </c>
      <c r="C59" s="8" t="s">
        <v>39</v>
      </c>
      <c r="D59" s="8" t="s">
        <v>40</v>
      </c>
      <c r="E59" s="8" t="s">
        <v>41</v>
      </c>
      <c r="F59" s="8" t="s">
        <v>42</v>
      </c>
      <c r="G59" s="8" t="s">
        <v>43</v>
      </c>
      <c r="H59" s="8" t="s">
        <v>72</v>
      </c>
      <c r="I59" s="8" t="s">
        <v>135</v>
      </c>
      <c r="J59" s="8" t="s">
        <v>136</v>
      </c>
      <c r="K59" s="8" t="s">
        <v>137</v>
      </c>
      <c r="L59" s="8" t="s">
        <v>138</v>
      </c>
      <c r="M59" s="8" t="s">
        <v>146</v>
      </c>
    </row>
    <row r="60" spans="2:13">
      <c r="B60" t="s">
        <v>56</v>
      </c>
      <c r="C60" s="15">
        <f>'Forecast Bull'!C63</f>
        <v>94.542053066666739</v>
      </c>
      <c r="D60" s="15">
        <f>'Forecast Bull'!D63</f>
        <v>175.28124594199994</v>
      </c>
      <c r="E60" s="15">
        <f>'Forecast Bull'!E63</f>
        <v>225.33593111870007</v>
      </c>
      <c r="F60" s="15">
        <f>'Forecast Bull'!F63</f>
        <v>262.12455746932073</v>
      </c>
      <c r="G60" s="15">
        <f>'Forecast Bull'!G63</f>
        <v>311.74636213926004</v>
      </c>
      <c r="H60" s="15">
        <f>'Forecast Bull'!H63</f>
        <v>326.79387336047887</v>
      </c>
      <c r="I60" s="15">
        <f>'Forecast Bull'!I63</f>
        <v>352.02990862067554</v>
      </c>
      <c r="J60" s="15">
        <f>'Forecast Bull'!J63</f>
        <v>371.77133603910863</v>
      </c>
      <c r="K60" s="15">
        <f>'Forecast Bull'!K63</f>
        <v>391.94848139439722</v>
      </c>
      <c r="L60" s="15">
        <f>'Forecast Bull'!L63</f>
        <v>408.67130905975102</v>
      </c>
      <c r="M60" s="15">
        <f>L60*(1+C62)</f>
        <v>416.84473524094608</v>
      </c>
    </row>
    <row r="61" spans="2:13">
      <c r="B61" t="s">
        <v>65</v>
      </c>
      <c r="C61">
        <v>1</v>
      </c>
      <c r="D61">
        <v>2</v>
      </c>
      <c r="E61">
        <v>3</v>
      </c>
      <c r="F61">
        <v>4</v>
      </c>
      <c r="G61">
        <v>5</v>
      </c>
      <c r="H61">
        <v>6</v>
      </c>
      <c r="I61">
        <v>7</v>
      </c>
      <c r="J61">
        <v>8</v>
      </c>
      <c r="K61">
        <v>9</v>
      </c>
      <c r="L61">
        <v>10</v>
      </c>
    </row>
    <row r="62" spans="2:13">
      <c r="B62" t="s">
        <v>70</v>
      </c>
      <c r="C62" s="1">
        <v>0.02</v>
      </c>
    </row>
    <row r="63" spans="2:13">
      <c r="B63" t="s">
        <v>69</v>
      </c>
      <c r="C63" s="1">
        <f>C39</f>
        <v>8.3234859677126877E-2</v>
      </c>
    </row>
    <row r="64" spans="2:13">
      <c r="B64" t="s">
        <v>67</v>
      </c>
      <c r="C64" s="15">
        <f>1/(1+$C$63)^C61</f>
        <v>0.92316083725191767</v>
      </c>
      <c r="D64" s="15">
        <f t="shared" ref="D64:L64" si="9">1/(1+$C$63)^D61</f>
        <v>0.85222593143566172</v>
      </c>
      <c r="E64" s="15">
        <f t="shared" si="9"/>
        <v>0.78674160439194085</v>
      </c>
      <c r="F64" s="15">
        <f t="shared" si="9"/>
        <v>0.72628903821138113</v>
      </c>
      <c r="G64" s="15">
        <f t="shared" si="9"/>
        <v>0.67048159660210871</v>
      </c>
      <c r="H64" s="15">
        <f t="shared" si="9"/>
        <v>0.6189623520812052</v>
      </c>
      <c r="I64" s="15">
        <f t="shared" si="9"/>
        <v>0.57140180317470168</v>
      </c>
      <c r="J64" s="15">
        <f t="shared" si="9"/>
        <v>0.52749576702601308</v>
      </c>
      <c r="K64" s="15">
        <f t="shared" si="9"/>
        <v>0.48696343393457681</v>
      </c>
      <c r="L64" s="15">
        <f t="shared" si="9"/>
        <v>0.44954557138211282</v>
      </c>
    </row>
    <row r="65" spans="2:12">
      <c r="B65" t="s">
        <v>68</v>
      </c>
      <c r="C65" s="15">
        <f>C60*C64</f>
        <v>87.277520864539298</v>
      </c>
      <c r="D65" s="15">
        <f t="shared" ref="D65" si="10">D60*D64</f>
        <v>149.3792230861242</v>
      </c>
      <c r="E65" s="15">
        <f t="shared" ref="E65" si="11">E60*E64</f>
        <v>177.28115197547797</v>
      </c>
      <c r="F65" s="15">
        <f t="shared" ref="F65" si="12">F60*F64</f>
        <v>190.37819273597685</v>
      </c>
      <c r="G65" s="15">
        <f t="shared" ref="G65" si="13">G60*G64</f>
        <v>209.02019862203025</v>
      </c>
      <c r="H65" s="15">
        <f t="shared" ref="H65" si="14">H60*H64</f>
        <v>202.27310450092952</v>
      </c>
      <c r="I65" s="15">
        <f t="shared" ref="I65" si="15">I60*I64</f>
        <v>201.15052455727945</v>
      </c>
      <c r="J65" s="15">
        <f t="shared" ref="J65" si="16">J60*J64</f>
        <v>196.10780606223528</v>
      </c>
      <c r="K65" s="15">
        <f t="shared" ref="K65" si="17">K60*K64</f>
        <v>190.86457842525826</v>
      </c>
      <c r="L65" s="15">
        <f t="shared" ref="L65" si="18">L60*L64</f>
        <v>183.71637713874179</v>
      </c>
    </row>
    <row r="66" spans="2:12">
      <c r="B66" t="s">
        <v>73</v>
      </c>
      <c r="C66" s="15"/>
      <c r="D66" s="15"/>
      <c r="E66" s="15"/>
      <c r="F66" s="15"/>
      <c r="G66" s="15"/>
      <c r="L66">
        <f>M60/(C63-C62)</f>
        <v>6592.0085435364053</v>
      </c>
    </row>
    <row r="67" spans="2:12">
      <c r="B67" t="s">
        <v>75</v>
      </c>
      <c r="C67" s="15"/>
      <c r="D67" s="15"/>
      <c r="E67" s="15"/>
      <c r="F67" s="15"/>
      <c r="G67" s="15"/>
      <c r="L67">
        <f>L66*L64</f>
        <v>2963.4082472598425</v>
      </c>
    </row>
    <row r="68" spans="2:12">
      <c r="B68" t="s">
        <v>74</v>
      </c>
      <c r="C68" s="15">
        <f>C65+D65+E65+F65+G65+H65+I65+J65+K65+L65+L67</f>
        <v>4750.8569252284351</v>
      </c>
      <c r="D68" s="15"/>
      <c r="E68" s="15"/>
      <c r="F68" s="15"/>
      <c r="G68" s="15"/>
    </row>
    <row r="69" spans="2:12">
      <c r="B69" s="58" t="s">
        <v>77</v>
      </c>
      <c r="C69">
        <f>505+55-69</f>
        <v>491</v>
      </c>
    </row>
    <row r="70" spans="2:12">
      <c r="B70" s="58" t="s">
        <v>78</v>
      </c>
      <c r="C70">
        <f>105+44</f>
        <v>149</v>
      </c>
    </row>
    <row r="71" spans="2:12">
      <c r="B71" s="58" t="s">
        <v>76</v>
      </c>
      <c r="C71">
        <v>40</v>
      </c>
    </row>
    <row r="72" spans="2:12">
      <c r="B72" s="58" t="s">
        <v>79</v>
      </c>
      <c r="C72">
        <v>0</v>
      </c>
    </row>
    <row r="73" spans="2:12">
      <c r="B73" s="60" t="s">
        <v>80</v>
      </c>
      <c r="C73" s="61">
        <f>C68-C69-C70-C71-C72</f>
        <v>4070.8569252284351</v>
      </c>
    </row>
    <row r="74" spans="2:12">
      <c r="C74" s="15"/>
    </row>
    <row r="75" spans="2:12">
      <c r="B75" t="s">
        <v>81</v>
      </c>
      <c r="C75" s="15">
        <f>C73/(C5/1000000)</f>
        <v>13.751029523266549</v>
      </c>
    </row>
    <row r="76" spans="2:12">
      <c r="B76" s="4" t="s">
        <v>82</v>
      </c>
      <c r="C76" s="18">
        <f>C75*C6</f>
        <v>150.16124239407071</v>
      </c>
    </row>
    <row r="79" spans="2:12">
      <c r="B79" s="7" t="s">
        <v>93</v>
      </c>
    </row>
    <row r="81" spans="1:7">
      <c r="B81" t="s">
        <v>94</v>
      </c>
      <c r="C81" s="6">
        <v>0.6</v>
      </c>
    </row>
    <row r="82" spans="1:7">
      <c r="B82" t="s">
        <v>95</v>
      </c>
      <c r="C82" s="6">
        <v>0.25</v>
      </c>
    </row>
    <row r="83" spans="1:7">
      <c r="B83" t="s">
        <v>96</v>
      </c>
      <c r="C83" s="6">
        <v>0.15</v>
      </c>
    </row>
    <row r="85" spans="1:7" ht="17" thickBot="1">
      <c r="B85" s="66" t="s">
        <v>97</v>
      </c>
      <c r="C85" s="66">
        <f>(C81*C28)+(C82*C52)+(C83*C76)</f>
        <v>87.205567335843696</v>
      </c>
    </row>
    <row r="87" spans="1:7">
      <c r="B87" t="s">
        <v>98</v>
      </c>
    </row>
    <row r="88" spans="1:7">
      <c r="C88" s="69" t="s">
        <v>69</v>
      </c>
      <c r="D88" s="69"/>
      <c r="E88" s="69"/>
      <c r="F88" s="69"/>
      <c r="G88" s="69"/>
    </row>
    <row r="89" spans="1:7">
      <c r="B89" s="152">
        <f>$C$28</f>
        <v>87.697283592309802</v>
      </c>
      <c r="C89" s="71">
        <v>7.3200000000000001E-2</v>
      </c>
      <c r="D89" s="71">
        <v>7.8200000000000006E-2</v>
      </c>
      <c r="E89" s="67">
        <v>8.3199999999999996E-2</v>
      </c>
      <c r="F89" s="71">
        <v>8.8200000000000001E-2</v>
      </c>
      <c r="G89" s="71">
        <v>9.3200000000000005E-2</v>
      </c>
    </row>
    <row r="90" spans="1:7">
      <c r="A90" s="87"/>
      <c r="B90" s="70">
        <v>0.01</v>
      </c>
      <c r="C90" s="75">
        <f t="dataTable" ref="C90:G94" dt2D="1" dtr="1" r1="C15" r2="C14"/>
        <v>96.189366564627562</v>
      </c>
      <c r="D90" s="75">
        <v>86.270068846567767</v>
      </c>
      <c r="E90" s="75">
        <v>77.728108509169502</v>
      </c>
      <c r="F90" s="75">
        <v>70.298634117061226</v>
      </c>
      <c r="G90" s="76">
        <v>63.780484228243132</v>
      </c>
    </row>
    <row r="91" spans="1:7">
      <c r="A91" s="87"/>
      <c r="B91" s="70">
        <v>1.4999999999999999E-2</v>
      </c>
      <c r="C91" s="77">
        <v>103.05131226478355</v>
      </c>
      <c r="D91" s="77">
        <v>91.885950093304814</v>
      </c>
      <c r="E91" s="78">
        <v>82.379040598812082</v>
      </c>
      <c r="F91" s="77">
        <v>74.190133695744038</v>
      </c>
      <c r="G91" s="77">
        <v>67.065871947925942</v>
      </c>
    </row>
    <row r="92" spans="1:7">
      <c r="A92" s="87"/>
      <c r="B92" s="68">
        <v>0.02</v>
      </c>
      <c r="C92" s="82">
        <v>111.20309738226211</v>
      </c>
      <c r="D92" s="81">
        <v>98.466759389309388</v>
      </c>
      <c r="E92" s="79">
        <v>87.76587966466397</v>
      </c>
      <c r="F92" s="80">
        <v>78.652234385670738</v>
      </c>
      <c r="G92" s="81">
        <v>70.800083126581853</v>
      </c>
    </row>
    <row r="93" spans="1:7">
      <c r="A93" s="87"/>
      <c r="B93" s="70">
        <v>2.5000000000000001E-2</v>
      </c>
      <c r="C93" s="74">
        <v>121.0461242253586</v>
      </c>
      <c r="D93" s="83">
        <v>106.28456291388623</v>
      </c>
      <c r="E93" s="84">
        <v>94.078292453170789</v>
      </c>
      <c r="F93" s="85">
        <v>83.820363665775645</v>
      </c>
      <c r="G93" s="86">
        <v>75.081832601228314</v>
      </c>
    </row>
    <row r="94" spans="1:7">
      <c r="A94" s="87"/>
      <c r="B94" s="70">
        <v>0.03</v>
      </c>
      <c r="C94" s="73">
        <v>133.16762950435711</v>
      </c>
      <c r="D94" s="72">
        <v>115.72431737717197</v>
      </c>
      <c r="E94" s="72">
        <v>101.57724899891574</v>
      </c>
      <c r="F94" s="72">
        <v>89.876487667548091</v>
      </c>
      <c r="G94" s="74">
        <v>80.041074081356854</v>
      </c>
    </row>
    <row r="97" spans="2:6" ht="17" thickBot="1"/>
    <row r="98" spans="2:6" ht="17" thickBot="1">
      <c r="B98" s="204" t="s">
        <v>209</v>
      </c>
      <c r="C98" s="187" t="s">
        <v>204</v>
      </c>
      <c r="D98" s="187" t="s">
        <v>205</v>
      </c>
      <c r="E98" s="188" t="s">
        <v>206</v>
      </c>
    </row>
    <row r="99" spans="2:6">
      <c r="B99" s="203" t="s">
        <v>81</v>
      </c>
      <c r="C99" s="210">
        <f>C52</f>
        <v>48.252043285388858</v>
      </c>
      <c r="D99" s="214">
        <f>C28</f>
        <v>87.697283592309802</v>
      </c>
      <c r="E99" s="211">
        <f>C76</f>
        <v>150.16124239407071</v>
      </c>
    </row>
    <row r="100" spans="2:6" ht="17" thickBot="1">
      <c r="B100" s="202" t="s">
        <v>210</v>
      </c>
      <c r="C100" s="212">
        <f>(C99-'Historiske finansielle tall'!C4)/'Historiske finansielle tall'!C4</f>
        <v>-0.53957973964323602</v>
      </c>
      <c r="D100" s="215">
        <f>(D99-'Historiske finansielle tall'!C4)/'Historiske finansielle tall'!C4</f>
        <v>-0.16319385885200569</v>
      </c>
      <c r="E100" s="213">
        <f>(E99-'Historiske finansielle tall'!C4)/'Historiske finansielle tall'!C4</f>
        <v>0.43283628238617095</v>
      </c>
    </row>
    <row r="101" spans="2:6">
      <c r="B101" s="207"/>
      <c r="C101" s="208"/>
      <c r="D101" s="208"/>
      <c r="E101" s="208"/>
      <c r="F101" s="209"/>
    </row>
    <row r="102" spans="2:6">
      <c r="B102" s="4"/>
      <c r="C102" s="205"/>
      <c r="D102" s="206"/>
      <c r="E102" s="20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317A-6541-7440-AD3E-56C8AE95B15D}">
  <dimension ref="B2:M110"/>
  <sheetViews>
    <sheetView zoomScale="91" zoomScaleNormal="88" workbookViewId="0">
      <selection activeCell="B2" sqref="B2"/>
    </sheetView>
  </sheetViews>
  <sheetFormatPr baseColWidth="10" defaultRowHeight="16"/>
  <cols>
    <col min="2" max="2" width="27.33203125" customWidth="1"/>
    <col min="3" max="3" width="18.5" customWidth="1"/>
    <col min="4" max="4" width="21.5" customWidth="1"/>
  </cols>
  <sheetData>
    <row r="2" spans="2:13" ht="19">
      <c r="B2" s="231" t="s">
        <v>246</v>
      </c>
    </row>
    <row r="4" spans="2:13">
      <c r="B4" s="97" t="s">
        <v>119</v>
      </c>
      <c r="C4" s="98">
        <f>'Historiske finansielle tall'!C4</f>
        <v>104.8</v>
      </c>
    </row>
    <row r="5" spans="2:13">
      <c r="B5" s="97" t="s">
        <v>120</v>
      </c>
      <c r="C5" s="99">
        <f>DCF!C28</f>
        <v>87.697283592309802</v>
      </c>
    </row>
    <row r="6" spans="2:13">
      <c r="B6" s="97" t="s">
        <v>69</v>
      </c>
      <c r="C6" s="100">
        <f>WACC!C32</f>
        <v>8.3234859677126877E-2</v>
      </c>
    </row>
    <row r="7" spans="2:13">
      <c r="B7" s="97" t="s">
        <v>70</v>
      </c>
      <c r="C7" s="101">
        <v>0.02</v>
      </c>
    </row>
    <row r="8" spans="2:13">
      <c r="B8" s="97" t="s">
        <v>121</v>
      </c>
      <c r="C8" s="99">
        <f>C4-C5</f>
        <v>17.102716407690195</v>
      </c>
    </row>
    <row r="10" spans="2:13">
      <c r="B10" s="4" t="s">
        <v>147</v>
      </c>
      <c r="C10" s="67">
        <v>2.4712184638139265E-2</v>
      </c>
    </row>
    <row r="12" spans="2:13" ht="19">
      <c r="B12" s="234" t="s">
        <v>133</v>
      </c>
      <c r="C12" s="234"/>
    </row>
    <row r="13" spans="2:13">
      <c r="B13" s="4"/>
      <c r="C13" s="102">
        <f>'Forecast Base'!E4</f>
        <v>2025</v>
      </c>
      <c r="D13" t="str">
        <f>'Forecast Base'!F4</f>
        <v>2026E</v>
      </c>
      <c r="E13" t="str">
        <f>'Forecast Base'!G4</f>
        <v>2027E</v>
      </c>
      <c r="F13" t="str">
        <f>'Forecast Base'!H4</f>
        <v>2028E</v>
      </c>
      <c r="G13" t="str">
        <f>'Forecast Base'!I4</f>
        <v>2029E</v>
      </c>
      <c r="H13" t="str">
        <f>'Forecast Base'!J4</f>
        <v>2030E</v>
      </c>
      <c r="I13" t="str">
        <f>'Forecast Base'!K4</f>
        <v>2031E</v>
      </c>
      <c r="J13" t="str">
        <f>'Forecast Base'!L4</f>
        <v>2032E</v>
      </c>
      <c r="K13" t="str">
        <f>'Forecast Base'!M4</f>
        <v>2033E</v>
      </c>
      <c r="L13" t="str">
        <f>'Forecast Base'!N4</f>
        <v>2034E</v>
      </c>
      <c r="M13" t="str">
        <f>'Forecast Base'!O4</f>
        <v>2035E</v>
      </c>
    </row>
    <row r="14" spans="2:13">
      <c r="B14" t="s">
        <v>124</v>
      </c>
      <c r="C14" s="1">
        <f>'Forecast Base'!E49</f>
        <v>0.13016535253980285</v>
      </c>
      <c r="D14" s="1">
        <f>'Forecast Base'!F49</f>
        <v>0.1301561894723566</v>
      </c>
      <c r="E14" s="1">
        <f>'Forecast Base'!G49</f>
        <v>0.15026280062499156</v>
      </c>
      <c r="F14" s="1">
        <f>'Forecast Base'!H49</f>
        <v>0.16236098975798816</v>
      </c>
      <c r="G14" s="1">
        <f>'Forecast Base'!I49</f>
        <v>0.16882572893080261</v>
      </c>
      <c r="H14" s="1">
        <f>'Forecast Base'!J49</f>
        <v>0.17587806269232589</v>
      </c>
      <c r="I14" s="1">
        <f>'Forecast Base'!K49</f>
        <v>0.17789446355489102</v>
      </c>
      <c r="J14" s="1">
        <f>'Forecast Base'!L49</f>
        <v>0.17920995151079541</v>
      </c>
      <c r="K14" s="1">
        <f>'Forecast Base'!M49</f>
        <v>0.17947706132468474</v>
      </c>
      <c r="L14" s="1">
        <f>'Forecast Base'!N49</f>
        <v>0.178405022191058</v>
      </c>
      <c r="M14" s="1">
        <f>'Forecast Base'!O49</f>
        <v>0.17690804179792721</v>
      </c>
    </row>
    <row r="15" spans="2:13">
      <c r="B15" t="s">
        <v>122</v>
      </c>
      <c r="C15" s="3"/>
      <c r="D15" s="6">
        <v>0.1</v>
      </c>
      <c r="E15" s="6">
        <v>0.2</v>
      </c>
      <c r="F15" s="6">
        <v>0.3</v>
      </c>
      <c r="G15" s="6">
        <v>0.4</v>
      </c>
      <c r="H15" s="6">
        <v>0.5</v>
      </c>
      <c r="I15" s="6">
        <v>0.6</v>
      </c>
      <c r="J15" s="6">
        <v>0.7</v>
      </c>
      <c r="K15" s="6">
        <v>0.8</v>
      </c>
      <c r="L15" s="6">
        <v>0.9</v>
      </c>
      <c r="M15" s="6">
        <v>1</v>
      </c>
    </row>
    <row r="16" spans="2:13">
      <c r="B16" s="4" t="s">
        <v>123</v>
      </c>
      <c r="C16" s="92">
        <f>C14+$C$10*C15</f>
        <v>0.13016535253980285</v>
      </c>
      <c r="D16" s="92">
        <f t="shared" ref="D16:H16" si="0">D14+$C$10*D15</f>
        <v>0.13262740793617053</v>
      </c>
      <c r="E16" s="92">
        <f t="shared" si="0"/>
        <v>0.15520523755261942</v>
      </c>
      <c r="F16" s="92">
        <f t="shared" si="0"/>
        <v>0.16977464514942994</v>
      </c>
      <c r="G16" s="92">
        <f t="shared" si="0"/>
        <v>0.17871060278605833</v>
      </c>
      <c r="H16" s="92">
        <f t="shared" si="0"/>
        <v>0.18823415501139554</v>
      </c>
      <c r="I16" s="92">
        <f t="shared" ref="I16" si="1">I14+$C$10*I15</f>
        <v>0.19272177433777457</v>
      </c>
      <c r="J16" s="92">
        <f t="shared" ref="J16" si="2">J14+$C$10*J15</f>
        <v>0.19650848075749289</v>
      </c>
      <c r="K16" s="92">
        <f t="shared" ref="K16" si="3">K14+$C$10*K15</f>
        <v>0.19924680903519615</v>
      </c>
      <c r="L16" s="92">
        <f t="shared" ref="L16" si="4">L14+$C$10*L15</f>
        <v>0.20064598836538333</v>
      </c>
      <c r="M16" s="92">
        <f t="shared" ref="M16" si="5">M14+$C$10*M15</f>
        <v>0.20162022643606647</v>
      </c>
    </row>
    <row r="17" spans="2:13">
      <c r="C17" s="3"/>
      <c r="D17" s="6"/>
    </row>
    <row r="18" spans="2:13">
      <c r="C18" s="3"/>
      <c r="D18" s="6"/>
    </row>
    <row r="19" spans="2:13">
      <c r="B19" s="4"/>
      <c r="C19" t="str">
        <f>D13</f>
        <v>2026E</v>
      </c>
      <c r="D19" t="str">
        <f>E13</f>
        <v>2027E</v>
      </c>
      <c r="E19" t="str">
        <f>F13</f>
        <v>2028E</v>
      </c>
      <c r="F19" t="str">
        <f>G13</f>
        <v>2029E</v>
      </c>
      <c r="G19" t="str">
        <f>H13</f>
        <v>2030E</v>
      </c>
      <c r="H19" t="str">
        <f t="shared" ref="H19:L19" si="6">I13</f>
        <v>2031E</v>
      </c>
      <c r="I19" t="str">
        <f t="shared" si="6"/>
        <v>2032E</v>
      </c>
      <c r="J19" t="str">
        <f t="shared" si="6"/>
        <v>2033E</v>
      </c>
      <c r="K19" t="str">
        <f t="shared" si="6"/>
        <v>2034E</v>
      </c>
      <c r="L19" t="str">
        <f t="shared" si="6"/>
        <v>2035E</v>
      </c>
    </row>
    <row r="20" spans="2:13">
      <c r="B20" t="s">
        <v>126</v>
      </c>
      <c r="C20" s="15">
        <f>'Forecast Base'!F44</f>
        <v>1480.04</v>
      </c>
      <c r="D20" s="15">
        <f>'Forecast Base'!G44</f>
        <v>1603.0936000000002</v>
      </c>
      <c r="E20" s="15">
        <f>'Forecast Base'!H44</f>
        <v>1732.8263480000001</v>
      </c>
      <c r="F20" s="15">
        <f>'Forecast Base'!I44</f>
        <v>1854.2302098000005</v>
      </c>
      <c r="G20" s="15">
        <f>'Forecast Base'!J44</f>
        <v>1977.7436360040003</v>
      </c>
      <c r="H20" s="15">
        <f>'Forecast Base'!K44</f>
        <v>2092.6105161292062</v>
      </c>
      <c r="I20" s="15">
        <f>'Forecast Base'!L44</f>
        <v>2203.3410419356665</v>
      </c>
      <c r="J20" s="15">
        <f>'Forecast Base'!M44</f>
        <v>2307.6413888227717</v>
      </c>
      <c r="K20" s="15">
        <f>'Forecast Base'!N44</f>
        <v>2402.6599048880926</v>
      </c>
      <c r="L20" s="15">
        <f>'Forecast Base'!O44</f>
        <v>2486.0391834359966</v>
      </c>
      <c r="M20" s="15"/>
    </row>
    <row r="21" spans="2:13">
      <c r="B21" t="s">
        <v>123</v>
      </c>
      <c r="C21" s="3">
        <f>D16</f>
        <v>0.13262740793617053</v>
      </c>
      <c r="D21" s="3">
        <f>E16</f>
        <v>0.15520523755261942</v>
      </c>
      <c r="E21" s="3">
        <f>F16</f>
        <v>0.16977464514942994</v>
      </c>
      <c r="F21" s="3">
        <f>G16</f>
        <v>0.17871060278605833</v>
      </c>
      <c r="G21" s="3">
        <f>H16</f>
        <v>0.18823415501139554</v>
      </c>
      <c r="H21" s="3">
        <f t="shared" ref="H21:L21" si="7">I16</f>
        <v>0.19272177433777457</v>
      </c>
      <c r="I21" s="3">
        <f t="shared" si="7"/>
        <v>0.19650848075749289</v>
      </c>
      <c r="J21" s="3">
        <f t="shared" si="7"/>
        <v>0.19924680903519615</v>
      </c>
      <c r="K21" s="3">
        <f t="shared" si="7"/>
        <v>0.20064598836538333</v>
      </c>
      <c r="L21" s="3">
        <f t="shared" si="7"/>
        <v>0.20162022643606647</v>
      </c>
    </row>
    <row r="22" spans="2:13">
      <c r="B22" t="s">
        <v>127</v>
      </c>
      <c r="C22" s="93">
        <f>C20*C21</f>
        <v>196.29386884184984</v>
      </c>
      <c r="D22" s="93">
        <f t="shared" ref="D22:G22" si="8">D20*D21</f>
        <v>248.80852300708386</v>
      </c>
      <c r="E22" s="93">
        <f t="shared" si="8"/>
        <v>294.18997833728258</v>
      </c>
      <c r="F22" s="93">
        <f t="shared" si="8"/>
        <v>331.37059849747749</v>
      </c>
      <c r="G22" s="93">
        <f t="shared" si="8"/>
        <v>372.27890215237801</v>
      </c>
      <c r="H22" s="93">
        <f t="shared" ref="H22" si="9">H20*H21</f>
        <v>403.29161166630684</v>
      </c>
      <c r="I22" s="93">
        <f t="shared" ref="I22" si="10">I20*I21</f>
        <v>432.97520074140925</v>
      </c>
      <c r="J22" s="93">
        <f t="shared" ref="J22" si="11">J20*J21</f>
        <v>459.79018312048561</v>
      </c>
      <c r="K22" s="93">
        <f t="shared" ref="K22" si="12">K20*K21</f>
        <v>482.08407132214927</v>
      </c>
      <c r="L22" s="93">
        <f t="shared" ref="L22" si="13">L20*L21</f>
        <v>501.23578309329946</v>
      </c>
    </row>
    <row r="23" spans="2:13">
      <c r="C23" s="93"/>
      <c r="D23" s="93"/>
      <c r="E23" s="93"/>
      <c r="F23" s="93"/>
      <c r="G23" s="93"/>
    </row>
    <row r="24" spans="2:13">
      <c r="C24" s="3"/>
    </row>
    <row r="25" spans="2:13">
      <c r="B25" t="s">
        <v>127</v>
      </c>
      <c r="C25" s="93">
        <f>C22</f>
        <v>196.29386884184984</v>
      </c>
      <c r="D25" s="93">
        <f t="shared" ref="D25:L25" si="14">D22</f>
        <v>248.80852300708386</v>
      </c>
      <c r="E25" s="93">
        <f t="shared" si="14"/>
        <v>294.18997833728258</v>
      </c>
      <c r="F25" s="93">
        <f t="shared" si="14"/>
        <v>331.37059849747749</v>
      </c>
      <c r="G25" s="93">
        <f t="shared" si="14"/>
        <v>372.27890215237801</v>
      </c>
      <c r="H25" s="93">
        <f t="shared" si="14"/>
        <v>403.29161166630684</v>
      </c>
      <c r="I25" s="93">
        <f t="shared" si="14"/>
        <v>432.97520074140925</v>
      </c>
      <c r="J25" s="93">
        <f t="shared" si="14"/>
        <v>459.79018312048561</v>
      </c>
      <c r="K25" s="93">
        <f t="shared" si="14"/>
        <v>482.08407132214927</v>
      </c>
      <c r="L25" s="93">
        <f t="shared" si="14"/>
        <v>501.23578309329946</v>
      </c>
      <c r="M25" s="93"/>
    </row>
    <row r="26" spans="2:13">
      <c r="B26" t="s">
        <v>51</v>
      </c>
      <c r="C26" s="93">
        <f>'Forecast Base'!C55</f>
        <v>29.6008</v>
      </c>
      <c r="D26" s="93">
        <f>'Forecast Base'!D55</f>
        <v>30.458778400000003</v>
      </c>
      <c r="E26" s="93">
        <f>'Forecast Base'!E55</f>
        <v>31.190874263999998</v>
      </c>
      <c r="F26" s="93">
        <f>'Forecast Base'!F55</f>
        <v>31.521913566600009</v>
      </c>
      <c r="G26" s="93">
        <f>'Forecast Base'!G55</f>
        <v>33.621641812068006</v>
      </c>
      <c r="H26" s="93">
        <f>'Forecast Base'!H55</f>
        <v>33.481768258067298</v>
      </c>
      <c r="I26" s="93">
        <f>'Forecast Base'!I55</f>
        <v>33.050115629034998</v>
      </c>
      <c r="J26" s="93">
        <f>'Forecast Base'!J55</f>
        <v>32.306979443518799</v>
      </c>
      <c r="K26" s="93">
        <f>'Forecast Base'!K55</f>
        <v>31.234578763545201</v>
      </c>
      <c r="L26" s="93">
        <f>'Forecast Base'!L55</f>
        <v>29.83247020123196</v>
      </c>
      <c r="M26" s="93"/>
    </row>
    <row r="27" spans="2:13">
      <c r="B27" s="95" t="s">
        <v>128</v>
      </c>
      <c r="C27" s="96">
        <f>C25-C26</f>
        <v>166.69306884184985</v>
      </c>
      <c r="D27" s="96">
        <f t="shared" ref="D27:G27" si="15">D25-D26</f>
        <v>218.34974460708386</v>
      </c>
      <c r="E27" s="96">
        <f t="shared" si="15"/>
        <v>262.99910407328258</v>
      </c>
      <c r="F27" s="96">
        <f t="shared" si="15"/>
        <v>299.84868493087748</v>
      </c>
      <c r="G27" s="96">
        <f t="shared" si="15"/>
        <v>338.65726034031002</v>
      </c>
      <c r="H27" s="96">
        <f t="shared" ref="H27" si="16">H25-H26</f>
        <v>369.80984340823954</v>
      </c>
      <c r="I27" s="96">
        <f t="shared" ref="I27" si="17">I25-I26</f>
        <v>399.92508511237423</v>
      </c>
      <c r="J27" s="96">
        <f t="shared" ref="J27" si="18">J25-J26</f>
        <v>427.48320367696681</v>
      </c>
      <c r="K27" s="96">
        <f t="shared" ref="K27" si="19">K25-K26</f>
        <v>450.84949255860408</v>
      </c>
      <c r="L27" s="96">
        <f t="shared" ref="L27" si="20">L25-L26</f>
        <v>471.4033128920675</v>
      </c>
      <c r="M27" s="96"/>
    </row>
    <row r="28" spans="2:13">
      <c r="B28" t="s">
        <v>129</v>
      </c>
      <c r="C28" s="2">
        <v>0.245</v>
      </c>
      <c r="D28" s="2">
        <v>0.245</v>
      </c>
      <c r="E28" s="2">
        <v>0.245</v>
      </c>
      <c r="F28" s="2">
        <v>0.245</v>
      </c>
      <c r="G28" s="2">
        <v>0.245</v>
      </c>
      <c r="H28" s="2">
        <v>0.245</v>
      </c>
      <c r="I28" s="2">
        <v>0.245</v>
      </c>
      <c r="J28" s="2">
        <v>0.245</v>
      </c>
      <c r="K28" s="2">
        <v>0.245</v>
      </c>
      <c r="L28" s="2">
        <v>0.245</v>
      </c>
      <c r="M28" s="2"/>
    </row>
    <row r="29" spans="2:13">
      <c r="B29" t="s">
        <v>130</v>
      </c>
      <c r="C29" s="15">
        <f>C27*(1-C28)</f>
        <v>125.85326697559664</v>
      </c>
      <c r="D29" s="15">
        <f t="shared" ref="D29:G29" si="21">D27*(1-D28)</f>
        <v>164.85405717834831</v>
      </c>
      <c r="E29" s="15">
        <f t="shared" si="21"/>
        <v>198.56432357532836</v>
      </c>
      <c r="F29" s="15">
        <f t="shared" si="21"/>
        <v>226.38575712281249</v>
      </c>
      <c r="G29" s="15">
        <f t="shared" si="21"/>
        <v>255.68623155693408</v>
      </c>
      <c r="H29" s="15">
        <f t="shared" ref="H29" si="22">H27*(1-H28)</f>
        <v>279.20643177322086</v>
      </c>
      <c r="I29" s="15">
        <f t="shared" ref="I29" si="23">I27*(1-I28)</f>
        <v>301.94343925984253</v>
      </c>
      <c r="J29" s="15">
        <f t="shared" ref="J29" si="24">J27*(1-J28)</f>
        <v>322.74981877610992</v>
      </c>
      <c r="K29" s="15">
        <f t="shared" ref="K29" si="25">K27*(1-K28)</f>
        <v>340.39136688174608</v>
      </c>
      <c r="L29" s="15">
        <f t="shared" ref="L29" si="26">L27*(1-L28)</f>
        <v>355.90950123351098</v>
      </c>
      <c r="M29" s="15"/>
    </row>
    <row r="30" spans="2:13">
      <c r="B30" t="s">
        <v>131</v>
      </c>
      <c r="C30" s="15">
        <f>'Forecast Base'!C59</f>
        <v>125.80340000000001</v>
      </c>
      <c r="D30" s="15">
        <f>'Forecast Base'!D59</f>
        <v>133.05676880000001</v>
      </c>
      <c r="E30" s="15">
        <f>'Forecast Base'!E59</f>
        <v>138.62610784</v>
      </c>
      <c r="F30" s="15">
        <f>'Forecast Base'!F59</f>
        <v>144.62995636440004</v>
      </c>
      <c r="G30" s="15">
        <f>'Forecast Base'!G59</f>
        <v>148.33077270030003</v>
      </c>
      <c r="H30" s="15">
        <f>'Forecast Base'!H59</f>
        <v>152.76056767743205</v>
      </c>
      <c r="I30" s="15">
        <f>'Forecast Base'!I59</f>
        <v>156.43721397743229</v>
      </c>
      <c r="J30" s="15">
        <f>'Forecast Base'!J59</f>
        <v>159.22725582877126</v>
      </c>
      <c r="K30" s="15">
        <f>'Forecast Base'!K59</f>
        <v>160.97821362750221</v>
      </c>
      <c r="L30" s="15">
        <f>'Forecast Base'!L59</f>
        <v>161.5925469233398</v>
      </c>
      <c r="M30" s="15"/>
    </row>
    <row r="31" spans="2:13">
      <c r="B31" t="s">
        <v>54</v>
      </c>
      <c r="C31" s="15">
        <f>'Forecast Base'!C60</f>
        <v>148.00399999999999</v>
      </c>
      <c r="D31" s="15">
        <f>'Forecast Base'!D60</f>
        <v>152.29389200000003</v>
      </c>
      <c r="E31" s="15">
        <f>'Forecast Base'!E60</f>
        <v>155.95437132000001</v>
      </c>
      <c r="F31" s="15">
        <f>'Forecast Base'!F60</f>
        <v>157.60956783300006</v>
      </c>
      <c r="G31" s="15">
        <f>'Forecast Base'!G60</f>
        <v>158.21949088032002</v>
      </c>
      <c r="H31" s="15">
        <f>'Forecast Base'!H60</f>
        <v>163.22362025807809</v>
      </c>
      <c r="I31" s="15">
        <f>'Forecast Base'!I60</f>
        <v>171.86060127098199</v>
      </c>
      <c r="J31" s="15">
        <f>'Forecast Base'!J60</f>
        <v>179.99602832817618</v>
      </c>
      <c r="K31" s="15">
        <f>'Forecast Base'!K60</f>
        <v>187.40747258127121</v>
      </c>
      <c r="L31" s="15">
        <f>'Forecast Base'!L60</f>
        <v>193.91105630800774</v>
      </c>
      <c r="M31" s="15"/>
    </row>
    <row r="32" spans="2:13">
      <c r="B32" t="s">
        <v>55</v>
      </c>
      <c r="C32" s="15">
        <f>'Forecast Base'!C62</f>
        <v>41.31</v>
      </c>
      <c r="D32" s="15">
        <f>'Forecast Base'!D62</f>
        <v>22.747932000000048</v>
      </c>
      <c r="E32" s="15">
        <f>'Forecast Base'!E62</f>
        <v>23.120391519999941</v>
      </c>
      <c r="F32" s="15">
        <f>'Forecast Base'!F62</f>
        <v>19.865775783000117</v>
      </c>
      <c r="G32" s="15">
        <f>'Forecast Base'!G62</f>
        <v>19.136936977920016</v>
      </c>
      <c r="H32" s="15">
        <f>'Forecast Base'!H62</f>
        <v>26.419382428797348</v>
      </c>
      <c r="I32" s="15">
        <f>'Forecast Base'!I62</f>
        <v>21.061338851614494</v>
      </c>
      <c r="J32" s="15">
        <f>'Forecast Base'!J62</f>
        <v>19.165196312614398</v>
      </c>
      <c r="K32" s="15">
        <f>'Forecast Base'!K62</f>
        <v>19.071524725874497</v>
      </c>
      <c r="L32" s="15">
        <f>'Forecast Base'!L62</f>
        <v>18.7603376732784</v>
      </c>
      <c r="M32" s="15"/>
    </row>
    <row r="33" spans="2:13">
      <c r="B33" s="95" t="s">
        <v>132</v>
      </c>
      <c r="C33" s="103">
        <f>C29+C30-C31-C32</f>
        <v>62.342666975596643</v>
      </c>
      <c r="D33" s="103">
        <f t="shared" ref="D33:G33" si="27">D29+D30-D31-D32</f>
        <v>122.86900197834825</v>
      </c>
      <c r="E33" s="103">
        <f t="shared" si="27"/>
        <v>158.11566857532841</v>
      </c>
      <c r="F33" s="103">
        <f t="shared" si="27"/>
        <v>193.54036987121239</v>
      </c>
      <c r="G33" s="103">
        <f t="shared" si="27"/>
        <v>226.6605763989941</v>
      </c>
      <c r="H33" s="103">
        <f t="shared" ref="H33" si="28">H29+H30-H31-H32</f>
        <v>242.32399676377747</v>
      </c>
      <c r="I33" s="103">
        <f t="shared" ref="I33" si="29">I29+I30-I31-I32</f>
        <v>265.45871311467835</v>
      </c>
      <c r="J33" s="103">
        <f t="shared" ref="J33" si="30">J29+J30-J31-J32</f>
        <v>282.8158499640906</v>
      </c>
      <c r="K33" s="103">
        <f t="shared" ref="K33" si="31">K29+K30-K31-K32</f>
        <v>294.89058320210256</v>
      </c>
      <c r="L33" s="103">
        <f t="shared" ref="L33" si="32">L29+L30-L31-L32</f>
        <v>304.83065417556469</v>
      </c>
      <c r="M33" s="103"/>
    </row>
    <row r="34" spans="2:13">
      <c r="B34" s="4"/>
      <c r="C34" s="18"/>
      <c r="D34" s="18"/>
      <c r="E34" s="18"/>
      <c r="F34" s="18"/>
      <c r="G34" s="18"/>
    </row>
    <row r="35" spans="2:13">
      <c r="B35" s="4"/>
      <c r="C35" s="18"/>
      <c r="D35" s="18"/>
      <c r="E35" s="18"/>
      <c r="F35" s="18"/>
      <c r="G35" s="18"/>
    </row>
    <row r="37" spans="2:13">
      <c r="B37" t="s">
        <v>50</v>
      </c>
      <c r="C37" s="8" t="s">
        <v>39</v>
      </c>
      <c r="D37" s="8" t="s">
        <v>40</v>
      </c>
      <c r="E37" s="8" t="s">
        <v>41</v>
      </c>
      <c r="F37" s="8" t="s">
        <v>42</v>
      </c>
      <c r="G37" s="8" t="s">
        <v>43</v>
      </c>
      <c r="H37" s="8" t="s">
        <v>72</v>
      </c>
      <c r="I37" s="8" t="s">
        <v>135</v>
      </c>
      <c r="J37" s="8" t="s">
        <v>136</v>
      </c>
      <c r="K37" s="8" t="s">
        <v>137</v>
      </c>
      <c r="L37" s="8" t="s">
        <v>138</v>
      </c>
      <c r="M37" s="8" t="s">
        <v>146</v>
      </c>
    </row>
    <row r="38" spans="2:13">
      <c r="B38" t="s">
        <v>132</v>
      </c>
      <c r="C38" s="15">
        <f>C33</f>
        <v>62.342666975596643</v>
      </c>
      <c r="D38" s="15">
        <f t="shared" ref="D38:L38" si="33">D33</f>
        <v>122.86900197834825</v>
      </c>
      <c r="E38" s="15">
        <f t="shared" si="33"/>
        <v>158.11566857532841</v>
      </c>
      <c r="F38" s="15">
        <f t="shared" si="33"/>
        <v>193.54036987121239</v>
      </c>
      <c r="G38" s="15">
        <f t="shared" si="33"/>
        <v>226.6605763989941</v>
      </c>
      <c r="H38" s="15">
        <f t="shared" si="33"/>
        <v>242.32399676377747</v>
      </c>
      <c r="I38" s="15">
        <f t="shared" si="33"/>
        <v>265.45871311467835</v>
      </c>
      <c r="J38" s="15">
        <f t="shared" si="33"/>
        <v>282.8158499640906</v>
      </c>
      <c r="K38" s="15">
        <f t="shared" si="33"/>
        <v>294.89058320210256</v>
      </c>
      <c r="L38" s="15">
        <f t="shared" si="33"/>
        <v>304.83065417556469</v>
      </c>
      <c r="M38" s="15">
        <f>L38*(1+C40)</f>
        <v>310.92726725907596</v>
      </c>
    </row>
    <row r="39" spans="2:13">
      <c r="B39" t="s">
        <v>65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  <c r="J39">
        <v>8</v>
      </c>
      <c r="K39">
        <v>9</v>
      </c>
      <c r="L39">
        <v>10</v>
      </c>
    </row>
    <row r="40" spans="2:13">
      <c r="B40" t="s">
        <v>70</v>
      </c>
      <c r="C40" s="9">
        <v>0.02</v>
      </c>
    </row>
    <row r="41" spans="2:13">
      <c r="B41" t="s">
        <v>69</v>
      </c>
      <c r="C41" s="1">
        <f>C6</f>
        <v>8.3234859677126877E-2</v>
      </c>
    </row>
    <row r="42" spans="2:13">
      <c r="B42" t="s">
        <v>67</v>
      </c>
      <c r="C42" s="15">
        <f>1/(1+$C$41)^C39</f>
        <v>0.92316083725191767</v>
      </c>
      <c r="D42" s="15">
        <f t="shared" ref="D42:L42" si="34">1/(1+$C$41)^D39</f>
        <v>0.85222593143566172</v>
      </c>
      <c r="E42" s="15">
        <f t="shared" si="34"/>
        <v>0.78674160439194085</v>
      </c>
      <c r="F42" s="15">
        <f t="shared" si="34"/>
        <v>0.72628903821138113</v>
      </c>
      <c r="G42" s="15">
        <f t="shared" si="34"/>
        <v>0.67048159660210871</v>
      </c>
      <c r="H42" s="15">
        <f t="shared" si="34"/>
        <v>0.6189623520812052</v>
      </c>
      <c r="I42" s="15">
        <f t="shared" si="34"/>
        <v>0.57140180317470168</v>
      </c>
      <c r="J42" s="15">
        <f t="shared" si="34"/>
        <v>0.52749576702601308</v>
      </c>
      <c r="K42" s="15">
        <f t="shared" si="34"/>
        <v>0.48696343393457681</v>
      </c>
      <c r="L42" s="15">
        <f t="shared" si="34"/>
        <v>0.44954557138211282</v>
      </c>
    </row>
    <row r="43" spans="2:13">
      <c r="B43" t="s">
        <v>68</v>
      </c>
      <c r="C43" s="15">
        <f>C38*C42</f>
        <v>57.552308641709274</v>
      </c>
      <c r="D43" s="15">
        <f t="shared" ref="D43:G43" si="35">D38*D42</f>
        <v>104.712149655568</v>
      </c>
      <c r="E43" s="15">
        <f t="shared" si="35"/>
        <v>124.39617477445826</v>
      </c>
      <c r="F43" s="15">
        <f t="shared" si="35"/>
        <v>140.56624908883782</v>
      </c>
      <c r="G43" s="15">
        <f t="shared" si="35"/>
        <v>151.97174515075181</v>
      </c>
      <c r="H43" s="15">
        <f t="shared" ref="H43" si="36">H38*H42</f>
        <v>149.98943100262605</v>
      </c>
      <c r="I43" s="15">
        <f t="shared" ref="I43" si="37">I38*I42</f>
        <v>151.68358734216304</v>
      </c>
      <c r="J43" s="15">
        <f t="shared" ref="J43" si="38">J38*J42</f>
        <v>149.1841637039218</v>
      </c>
      <c r="K43" s="15">
        <f t="shared" ref="K43" si="39">K38*K42</f>
        <v>143.6009310310659</v>
      </c>
      <c r="L43" s="15">
        <f t="shared" ref="L43" si="40">L38*L42</f>
        <v>137.03527060613746</v>
      </c>
    </row>
    <row r="44" spans="2:13">
      <c r="B44" t="s">
        <v>73</v>
      </c>
      <c r="C44" s="15"/>
      <c r="D44" s="15"/>
      <c r="E44" s="15"/>
      <c r="F44" s="15"/>
      <c r="G44" s="15"/>
      <c r="L44">
        <f>M38/(C41-C40)</f>
        <v>4917.0231237429889</v>
      </c>
    </row>
    <row r="45" spans="2:13">
      <c r="B45" t="s">
        <v>75</v>
      </c>
      <c r="C45" s="15"/>
      <c r="D45" s="15"/>
      <c r="E45" s="15"/>
      <c r="F45" s="15"/>
      <c r="G45" s="15"/>
      <c r="L45">
        <f>L44*L42</f>
        <v>2210.4259696621029</v>
      </c>
    </row>
    <row r="46" spans="2:13">
      <c r="B46" t="s">
        <v>74</v>
      </c>
      <c r="C46" s="15">
        <f>C43+D43+E43+F43+G43+H43+I43+J43+K43+L43+L45</f>
        <v>3521.1179806593418</v>
      </c>
      <c r="D46" s="15"/>
      <c r="E46" s="15"/>
      <c r="F46" s="15"/>
      <c r="G46" s="15"/>
    </row>
    <row r="47" spans="2:13">
      <c r="B47" s="58" t="s">
        <v>77</v>
      </c>
      <c r="C47">
        <f>505+55-69</f>
        <v>491</v>
      </c>
    </row>
    <row r="48" spans="2:13">
      <c r="B48" s="58" t="s">
        <v>78</v>
      </c>
      <c r="C48">
        <f>105+44</f>
        <v>149</v>
      </c>
    </row>
    <row r="49" spans="2:12">
      <c r="B49" s="58" t="s">
        <v>76</v>
      </c>
      <c r="C49">
        <v>40</v>
      </c>
    </row>
    <row r="50" spans="2:12">
      <c r="B50" s="58" t="s">
        <v>79</v>
      </c>
      <c r="C50">
        <v>0</v>
      </c>
    </row>
    <row r="51" spans="2:12">
      <c r="B51" s="60" t="s">
        <v>80</v>
      </c>
      <c r="C51" s="61">
        <f>C46-C47-C48-C49-C50</f>
        <v>2841.1179806593418</v>
      </c>
    </row>
    <row r="52" spans="2:12">
      <c r="C52" s="15"/>
    </row>
    <row r="53" spans="2:12">
      <c r="B53" t="s">
        <v>81</v>
      </c>
      <c r="C53" s="15">
        <f>C51/(DCF!C5/1000000)</f>
        <v>9.5970695970696003</v>
      </c>
    </row>
    <row r="54" spans="2:12" ht="17" thickBot="1">
      <c r="B54" s="5" t="s">
        <v>82</v>
      </c>
      <c r="C54" s="104">
        <f>C53*DCF!C6</f>
        <v>104.80000000000004</v>
      </c>
    </row>
    <row r="56" spans="2:12" s="94" customFormat="1"/>
    <row r="58" spans="2:12" ht="19">
      <c r="B58" s="105" t="s">
        <v>134</v>
      </c>
    </row>
    <row r="60" spans="2:12">
      <c r="B60" s="4" t="s">
        <v>197</v>
      </c>
      <c r="C60" s="106">
        <v>0.24544894009941537</v>
      </c>
      <c r="D60" s="102"/>
      <c r="E60" s="102"/>
      <c r="F60" s="102"/>
      <c r="G60" s="102"/>
      <c r="H60" s="102"/>
    </row>
    <row r="61" spans="2:12">
      <c r="C61" s="1"/>
      <c r="D61" s="1"/>
      <c r="E61" s="1"/>
      <c r="F61" s="1"/>
      <c r="G61" s="1"/>
      <c r="H61" s="1"/>
    </row>
    <row r="62" spans="2:12">
      <c r="C62" s="3" t="str">
        <f>C19</f>
        <v>2026E</v>
      </c>
      <c r="D62" s="3" t="str">
        <f t="shared" ref="D62:L62" si="41">D19</f>
        <v>2027E</v>
      </c>
      <c r="E62" s="3" t="str">
        <f t="shared" si="41"/>
        <v>2028E</v>
      </c>
      <c r="F62" s="3" t="str">
        <f t="shared" si="41"/>
        <v>2029E</v>
      </c>
      <c r="G62" s="3" t="str">
        <f t="shared" si="41"/>
        <v>2030E</v>
      </c>
      <c r="H62" s="3" t="str">
        <f t="shared" si="41"/>
        <v>2031E</v>
      </c>
      <c r="I62" s="3" t="str">
        <f t="shared" si="41"/>
        <v>2032E</v>
      </c>
      <c r="J62" s="3" t="str">
        <f t="shared" si="41"/>
        <v>2033E</v>
      </c>
      <c r="K62" s="3" t="str">
        <f t="shared" si="41"/>
        <v>2034E</v>
      </c>
      <c r="L62" s="3" t="str">
        <f t="shared" si="41"/>
        <v>2035E</v>
      </c>
    </row>
    <row r="63" spans="2:12">
      <c r="B63" s="95" t="s">
        <v>139</v>
      </c>
      <c r="C63" s="96">
        <f>C20</f>
        <v>1480.04</v>
      </c>
      <c r="D63" s="96">
        <f t="shared" ref="D63:L63" si="42">D20</f>
        <v>1603.0936000000002</v>
      </c>
      <c r="E63" s="96">
        <f t="shared" si="42"/>
        <v>1732.8263480000001</v>
      </c>
      <c r="F63" s="96">
        <f t="shared" si="42"/>
        <v>1854.2302098000005</v>
      </c>
      <c r="G63" s="96">
        <f t="shared" si="42"/>
        <v>1977.7436360040003</v>
      </c>
      <c r="H63" s="96">
        <f t="shared" si="42"/>
        <v>2092.6105161292062</v>
      </c>
      <c r="I63" s="96">
        <f t="shared" si="42"/>
        <v>2203.3410419356665</v>
      </c>
      <c r="J63" s="96">
        <f t="shared" si="42"/>
        <v>2307.6413888227717</v>
      </c>
      <c r="K63" s="96">
        <f t="shared" si="42"/>
        <v>2402.6599048880926</v>
      </c>
      <c r="L63" s="96">
        <f t="shared" si="42"/>
        <v>2486.0391834359966</v>
      </c>
    </row>
    <row r="64" spans="2:12">
      <c r="B64" s="109" t="s">
        <v>143</v>
      </c>
      <c r="C64" s="110">
        <f>'Forecast Base'!F45</f>
        <v>0.12209249431387412</v>
      </c>
      <c r="D64" s="110">
        <f>'Forecast Base'!G45</f>
        <v>8.3142077241155771E-2</v>
      </c>
      <c r="E64" s="110">
        <f>'Forecast Base'!H45</f>
        <v>8.0926496119752389E-2</v>
      </c>
      <c r="F64" s="110">
        <f>'Forecast Base'!I45</f>
        <v>7.0061181802852188E-2</v>
      </c>
      <c r="G64" s="110">
        <f>'Forecast Base'!J45</f>
        <v>6.6611699858628762E-2</v>
      </c>
      <c r="H64" s="110">
        <f>'Forecast Base'!K45</f>
        <v>5.8079762227066276E-2</v>
      </c>
      <c r="I64" s="110">
        <f>'Forecast Base'!L45</f>
        <v>5.2915019279977334E-2</v>
      </c>
      <c r="J64" s="110">
        <f>'Forecast Base'!M45</f>
        <v>4.7337359447303655E-2</v>
      </c>
      <c r="K64" s="110">
        <f>'Forecast Base'!N45</f>
        <v>4.117559882811514E-2</v>
      </c>
      <c r="L64" s="110">
        <f>'Forecast Base'!O45</f>
        <v>3.4702905050470537E-2</v>
      </c>
    </row>
    <row r="65" spans="2:12">
      <c r="B65" t="s">
        <v>122</v>
      </c>
      <c r="C65" s="3">
        <v>0.1</v>
      </c>
      <c r="D65" s="3">
        <v>0.2</v>
      </c>
      <c r="E65" s="3">
        <v>0.3</v>
      </c>
      <c r="F65" s="3">
        <v>0.4</v>
      </c>
      <c r="G65" s="3">
        <v>0.5</v>
      </c>
      <c r="H65" s="3">
        <v>0.6</v>
      </c>
      <c r="I65" s="3">
        <v>0.7</v>
      </c>
      <c r="J65" s="3">
        <v>0.8</v>
      </c>
      <c r="K65" s="3">
        <v>0.9</v>
      </c>
      <c r="L65" s="3">
        <v>1</v>
      </c>
    </row>
    <row r="66" spans="2:12">
      <c r="B66" t="s">
        <v>140</v>
      </c>
      <c r="C66" s="93">
        <f>C63*(1+$C$60*C65)</f>
        <v>1516.3674249304738</v>
      </c>
      <c r="D66" s="93">
        <f t="shared" ref="D66:G66" si="43">D63*(1+$C$60*D65)</f>
        <v>1681.7891250000314</v>
      </c>
      <c r="E66" s="93">
        <f t="shared" si="43"/>
        <v>1860.4224651478821</v>
      </c>
      <c r="F66" s="93">
        <f t="shared" si="43"/>
        <v>2036.277745678291</v>
      </c>
      <c r="G66" s="93">
        <f t="shared" si="43"/>
        <v>2220.4611756267732</v>
      </c>
      <c r="H66" s="93">
        <f t="shared" ref="H66" si="44">H63*(1+$C$60*H65)</f>
        <v>2400.7879360640886</v>
      </c>
      <c r="I66" s="93">
        <f t="shared" ref="I66" si="45">I63*(1+$C$60*I65)</f>
        <v>2581.9064483301217</v>
      </c>
      <c r="J66" s="93">
        <f t="shared" ref="J66" si="46">J63*(1+$C$60*J65)</f>
        <v>2760.7678952356455</v>
      </c>
      <c r="K66" s="93">
        <f t="shared" ref="K66:L66" si="47">K63*(1+$C$60*K65)</f>
        <v>2933.4171992548227</v>
      </c>
      <c r="L66" s="93">
        <f t="shared" si="47"/>
        <v>3096.2348660559778</v>
      </c>
    </row>
    <row r="67" spans="2:12">
      <c r="B67" s="4" t="s">
        <v>141</v>
      </c>
      <c r="C67" s="92">
        <f>(C66-'Forecast Base'!E44)/'Forecast Base'!E44</f>
        <v>0.14963413565615907</v>
      </c>
      <c r="D67" s="92">
        <f>(D66-C66)/C66</f>
        <v>0.10909077664810839</v>
      </c>
      <c r="E67" s="92">
        <f t="shared" ref="E67:G67" si="48">(E66-D66)/D66</f>
        <v>0.10621625356737123</v>
      </c>
      <c r="F67" s="92">
        <f t="shared" si="48"/>
        <v>9.4524380254906476E-2</v>
      </c>
      <c r="G67" s="92">
        <f t="shared" si="48"/>
        <v>9.0451035149495304E-2</v>
      </c>
      <c r="H67" s="92">
        <f t="shared" ref="H67" si="49">(H66-G66)/G66</f>
        <v>8.1211399873458406E-2</v>
      </c>
      <c r="I67" s="92">
        <f t="shared" ref="I67" si="50">(I66-H66)/H66</f>
        <v>7.5441278900694284E-2</v>
      </c>
      <c r="J67" s="92">
        <f t="shared" ref="J67" si="51">(J66-I66)/I66</f>
        <v>6.9274952630915224E-2</v>
      </c>
      <c r="K67" s="92">
        <f t="shared" ref="K67" si="52">(K66-J66)/J66</f>
        <v>6.2536696517343657E-2</v>
      </c>
      <c r="L67" s="92">
        <f t="shared" ref="L67" si="53">(L66-K66)/K66</f>
        <v>5.5504435864941339E-2</v>
      </c>
    </row>
    <row r="68" spans="2:12">
      <c r="B68" s="4"/>
    </row>
    <row r="69" spans="2:12">
      <c r="C69" s="3"/>
      <c r="D69" s="3"/>
      <c r="E69" s="3"/>
      <c r="F69" s="3"/>
      <c r="G69" s="3"/>
      <c r="H69" s="3"/>
    </row>
    <row r="70" spans="2:12">
      <c r="C70" s="93" t="str">
        <f>C62</f>
        <v>2026E</v>
      </c>
      <c r="D70" s="93" t="str">
        <f t="shared" ref="D70:G70" si="54">D62</f>
        <v>2027E</v>
      </c>
      <c r="E70" s="93" t="str">
        <f t="shared" si="54"/>
        <v>2028E</v>
      </c>
      <c r="F70" s="93" t="str">
        <f t="shared" si="54"/>
        <v>2029E</v>
      </c>
      <c r="G70" s="93" t="str">
        <f t="shared" si="54"/>
        <v>2030E</v>
      </c>
      <c r="H70" t="s">
        <v>72</v>
      </c>
      <c r="I70" t="s">
        <v>135</v>
      </c>
      <c r="J70" t="s">
        <v>136</v>
      </c>
      <c r="K70" t="s">
        <v>137</v>
      </c>
      <c r="L70" t="s">
        <v>138</v>
      </c>
    </row>
    <row r="71" spans="2:12">
      <c r="B71" t="s">
        <v>140</v>
      </c>
      <c r="C71" s="93">
        <f>C66</f>
        <v>1516.3674249304738</v>
      </c>
      <c r="D71" s="93">
        <f t="shared" ref="D71:L71" si="55">D66</f>
        <v>1681.7891250000314</v>
      </c>
      <c r="E71" s="93">
        <f t="shared" si="55"/>
        <v>1860.4224651478821</v>
      </c>
      <c r="F71" s="93">
        <f t="shared" si="55"/>
        <v>2036.277745678291</v>
      </c>
      <c r="G71" s="93">
        <f t="shared" si="55"/>
        <v>2220.4611756267732</v>
      </c>
      <c r="H71" s="93">
        <f t="shared" si="55"/>
        <v>2400.7879360640886</v>
      </c>
      <c r="I71" s="93">
        <f t="shared" si="55"/>
        <v>2581.9064483301217</v>
      </c>
      <c r="J71" s="93">
        <f t="shared" si="55"/>
        <v>2760.7678952356455</v>
      </c>
      <c r="K71" s="93">
        <f t="shared" si="55"/>
        <v>2933.4171992548227</v>
      </c>
      <c r="L71" s="93">
        <f t="shared" si="55"/>
        <v>3096.2348660559778</v>
      </c>
    </row>
    <row r="72" spans="2:12">
      <c r="B72" t="s">
        <v>124</v>
      </c>
      <c r="C72" s="3">
        <f>D14</f>
        <v>0.1301561894723566</v>
      </c>
      <c r="D72" s="3">
        <f t="shared" ref="D72:L72" si="56">E14</f>
        <v>0.15026280062499156</v>
      </c>
      <c r="E72" s="3">
        <f t="shared" si="56"/>
        <v>0.16236098975798816</v>
      </c>
      <c r="F72" s="3">
        <f t="shared" si="56"/>
        <v>0.16882572893080261</v>
      </c>
      <c r="G72" s="3">
        <f t="shared" si="56"/>
        <v>0.17587806269232589</v>
      </c>
      <c r="H72" s="3">
        <f t="shared" si="56"/>
        <v>0.17789446355489102</v>
      </c>
      <c r="I72" s="3">
        <f t="shared" si="56"/>
        <v>0.17920995151079541</v>
      </c>
      <c r="J72" s="3">
        <f t="shared" si="56"/>
        <v>0.17947706132468474</v>
      </c>
      <c r="K72" s="3">
        <f t="shared" si="56"/>
        <v>0.178405022191058</v>
      </c>
      <c r="L72" s="3">
        <f t="shared" si="56"/>
        <v>0.17690804179792721</v>
      </c>
    </row>
    <row r="73" spans="2:12">
      <c r="B73" t="s">
        <v>127</v>
      </c>
      <c r="C73" s="93">
        <f>C71*C72</f>
        <v>197.36460586896024</v>
      </c>
      <c r="D73" s="93">
        <f t="shared" ref="D73:G73" si="57">D71*D72</f>
        <v>252.71034398315874</v>
      </c>
      <c r="E73" s="93">
        <f t="shared" si="57"/>
        <v>302.06003280940638</v>
      </c>
      <c r="F73" s="93">
        <f t="shared" si="57"/>
        <v>343.77607471970896</v>
      </c>
      <c r="G73" s="93">
        <f t="shared" si="57"/>
        <v>390.5304098527613</v>
      </c>
      <c r="H73" s="93">
        <f t="shared" ref="H73" si="58">H71*H72</f>
        <v>427.08688199517508</v>
      </c>
      <c r="I73" s="93">
        <f t="shared" ref="I73" si="59">I71*I72</f>
        <v>462.70332941065112</v>
      </c>
      <c r="J73" s="93">
        <f t="shared" ref="J73" si="60">J71*J72</f>
        <v>495.49450883642879</v>
      </c>
      <c r="K73" s="93">
        <f t="shared" ref="K73" si="61">K71*K72</f>
        <v>523.33636052868781</v>
      </c>
      <c r="L73" s="93">
        <f t="shared" ref="L73" si="62">L71*L72</f>
        <v>547.74884710043045</v>
      </c>
    </row>
    <row r="74" spans="2:12">
      <c r="B74" t="s">
        <v>51</v>
      </c>
      <c r="C74" s="93">
        <f>C71*Antagelser!C19</f>
        <v>30.327348498609478</v>
      </c>
      <c r="D74" s="93">
        <f>D71*Antagelser!D19</f>
        <v>31.953993375000596</v>
      </c>
      <c r="E74" s="93">
        <f>E71*Antagelser!E19</f>
        <v>33.487604372661878</v>
      </c>
      <c r="F74" s="93">
        <f>F71*Antagelser!F19</f>
        <v>34.61672167653095</v>
      </c>
      <c r="G74" s="93">
        <f>G71*Antagelser!G19</f>
        <v>37.747839985655148</v>
      </c>
      <c r="H74" s="93">
        <f>H71*Antagelser!H19</f>
        <v>38.412606977025419</v>
      </c>
      <c r="I74" s="93">
        <f>I71*Antagelser!I19</f>
        <v>38.728596724951828</v>
      </c>
      <c r="J74" s="93">
        <f>J71*Antagelser!J19</f>
        <v>38.650750533299032</v>
      </c>
      <c r="K74" s="93">
        <f>K71*Antagelser!K19</f>
        <v>38.134423590312693</v>
      </c>
      <c r="L74" s="93">
        <f>L71*Antagelser!L19</f>
        <v>37.154818392671736</v>
      </c>
    </row>
    <row r="75" spans="2:12">
      <c r="B75" s="95" t="s">
        <v>128</v>
      </c>
      <c r="C75" s="96">
        <f>C73-C74</f>
        <v>167.03725737035077</v>
      </c>
      <c r="D75" s="96">
        <f t="shared" ref="D75:G75" si="63">D73-D74</f>
        <v>220.75635060815813</v>
      </c>
      <c r="E75" s="96">
        <f t="shared" si="63"/>
        <v>268.57242843674453</v>
      </c>
      <c r="F75" s="96">
        <f t="shared" si="63"/>
        <v>309.15935304317799</v>
      </c>
      <c r="G75" s="96">
        <f t="shared" si="63"/>
        <v>352.78256986710613</v>
      </c>
      <c r="H75" s="96">
        <f t="shared" ref="H75" si="64">H73-H74</f>
        <v>388.67427501814967</v>
      </c>
      <c r="I75" s="96">
        <f t="shared" ref="I75" si="65">I73-I74</f>
        <v>423.97473268569928</v>
      </c>
      <c r="J75" s="96">
        <f t="shared" ref="J75" si="66">J73-J74</f>
        <v>456.84375830312979</v>
      </c>
      <c r="K75" s="96">
        <f t="shared" ref="K75" si="67">K73-K74</f>
        <v>485.20193693837513</v>
      </c>
      <c r="L75" s="96">
        <f t="shared" ref="L75" si="68">L73-L74</f>
        <v>510.5940287077587</v>
      </c>
    </row>
    <row r="76" spans="2:12">
      <c r="B76" s="95" t="s">
        <v>52</v>
      </c>
      <c r="C76" s="2">
        <f>C28</f>
        <v>0.245</v>
      </c>
      <c r="D76" s="2">
        <f t="shared" ref="D76:L76" si="69">D28</f>
        <v>0.245</v>
      </c>
      <c r="E76" s="2">
        <f t="shared" si="69"/>
        <v>0.245</v>
      </c>
      <c r="F76" s="2">
        <f t="shared" si="69"/>
        <v>0.245</v>
      </c>
      <c r="G76" s="2">
        <f t="shared" si="69"/>
        <v>0.245</v>
      </c>
      <c r="H76" s="2">
        <f t="shared" si="69"/>
        <v>0.245</v>
      </c>
      <c r="I76" s="2">
        <f t="shared" si="69"/>
        <v>0.245</v>
      </c>
      <c r="J76" s="2">
        <f t="shared" si="69"/>
        <v>0.245</v>
      </c>
      <c r="K76" s="2">
        <f t="shared" si="69"/>
        <v>0.245</v>
      </c>
      <c r="L76" s="2">
        <f t="shared" si="69"/>
        <v>0.245</v>
      </c>
    </row>
    <row r="77" spans="2:12">
      <c r="B77" s="95" t="s">
        <v>130</v>
      </c>
      <c r="C77" s="15">
        <f>C75*(1-C76)</f>
        <v>126.11312931461484</v>
      </c>
      <c r="D77" s="15">
        <f t="shared" ref="D77:G77" si="70">D75*(1-D76)</f>
        <v>166.67104470915939</v>
      </c>
      <c r="E77" s="15">
        <f t="shared" si="70"/>
        <v>202.77218346974212</v>
      </c>
      <c r="F77" s="15">
        <f t="shared" si="70"/>
        <v>233.41531154759937</v>
      </c>
      <c r="G77" s="15">
        <f t="shared" si="70"/>
        <v>266.35084024966511</v>
      </c>
      <c r="H77" s="15">
        <f t="shared" ref="H77" si="71">H75*(1-H76)</f>
        <v>293.44907763870299</v>
      </c>
      <c r="I77" s="15">
        <f t="shared" ref="I77" si="72">I75*(1-I76)</f>
        <v>320.10092317770295</v>
      </c>
      <c r="J77" s="15">
        <f t="shared" ref="J77" si="73">J75*(1-J76)</f>
        <v>344.91703751886297</v>
      </c>
      <c r="K77" s="15">
        <f t="shared" ref="K77" si="74">K75*(1-K76)</f>
        <v>366.32746238847324</v>
      </c>
      <c r="L77" s="15">
        <f t="shared" ref="L77" si="75">L75*(1-L76)</f>
        <v>385.49849167435781</v>
      </c>
    </row>
    <row r="78" spans="2:12">
      <c r="B78" s="95" t="s">
        <v>142</v>
      </c>
      <c r="C78" s="15">
        <f>C71*Antagelser!C21</f>
        <v>128.89123111909029</v>
      </c>
      <c r="D78" s="15">
        <f>D71*Antagelser!D21</f>
        <v>139.58849737500262</v>
      </c>
      <c r="E78" s="15">
        <f>E71*Antagelser!E21</f>
        <v>148.83379721183059</v>
      </c>
      <c r="F78" s="15">
        <f>F71*Antagelser!F21</f>
        <v>158.82966416290671</v>
      </c>
      <c r="G78" s="15">
        <f>G71*Antagelser!G21</f>
        <v>166.53458817200797</v>
      </c>
      <c r="H78" s="15">
        <f>H71*Antagelser!H21</f>
        <v>175.25751933267847</v>
      </c>
      <c r="I78" s="15">
        <f>I71*Antagelser!I21</f>
        <v>183.31535783143863</v>
      </c>
      <c r="J78" s="15">
        <f>J71*Antagelser!J21</f>
        <v>190.49298477125956</v>
      </c>
      <c r="K78" s="15">
        <f>K71*Antagelser!K21</f>
        <v>196.53895235007312</v>
      </c>
      <c r="L78" s="15">
        <f>L71*Antagelser!L21</f>
        <v>201.25526629363856</v>
      </c>
    </row>
    <row r="79" spans="2:12">
      <c r="B79" s="95" t="s">
        <v>54</v>
      </c>
      <c r="C79" s="15">
        <f>C71*Antagelser!C22</f>
        <v>151.63674249304739</v>
      </c>
      <c r="D79" s="15">
        <f>D71*Antagelser!D22</f>
        <v>159.76996687500298</v>
      </c>
      <c r="E79" s="15">
        <f>E71*Antagelser!E22</f>
        <v>167.43802186330939</v>
      </c>
      <c r="F79" s="15">
        <f>F71*Antagelser!F22</f>
        <v>173.08360838265475</v>
      </c>
      <c r="G79" s="15">
        <f>G71*Antagelser!G22</f>
        <v>177.63689405014185</v>
      </c>
      <c r="H79" s="15">
        <f>H71*Antagelser!H22</f>
        <v>187.26145901299893</v>
      </c>
      <c r="I79" s="15">
        <f>I71*Antagelser!I22</f>
        <v>201.38870296974949</v>
      </c>
      <c r="J79" s="15">
        <f>J71*Antagelser!J22</f>
        <v>215.33989582838035</v>
      </c>
      <c r="K79" s="15">
        <f>K71*Antagelser!K22</f>
        <v>228.80654154187616</v>
      </c>
      <c r="L79" s="15">
        <f>L71*Antagelser!L22</f>
        <v>241.50631955236628</v>
      </c>
    </row>
    <row r="80" spans="2:12">
      <c r="B80" s="95" t="s">
        <v>12</v>
      </c>
      <c r="C80" s="15">
        <f>C71*Antagelser!C23</f>
        <v>379.09185623261845</v>
      </c>
      <c r="D80" s="15">
        <f>D71*Antagelser!D23</f>
        <v>412.03833562500768</v>
      </c>
      <c r="E80" s="15">
        <f>E71*Antagelser!E23</f>
        <v>446.5013916354917</v>
      </c>
      <c r="F80" s="15">
        <f>F71*Antagelser!F23</f>
        <v>478.52527023439836</v>
      </c>
      <c r="G80" s="15">
        <f>G71*Antagelser!G23</f>
        <v>510.70607039415785</v>
      </c>
      <c r="H80" s="15">
        <f>H71*Antagelser!H23</f>
        <v>552.18122529474044</v>
      </c>
      <c r="I80" s="15">
        <f>I71*Antagelser!I23</f>
        <v>588.6746702192678</v>
      </c>
      <c r="J80" s="15">
        <f>J71*Antagelser!J23</f>
        <v>623.93354432325589</v>
      </c>
      <c r="K80" s="15">
        <f>K71*Antagelser!K23</f>
        <v>660.0188698323351</v>
      </c>
      <c r="L80" s="15">
        <f>L71*Antagelser!L23</f>
        <v>696.65284486259497</v>
      </c>
    </row>
    <row r="81" spans="2:13">
      <c r="B81" s="95" t="s">
        <v>55</v>
      </c>
      <c r="C81" s="15">
        <f>C80-'Historiske finansielle tall'!J35</f>
        <v>50.391856232618466</v>
      </c>
      <c r="D81" s="15">
        <f>D80-C80</f>
        <v>32.946479392389222</v>
      </c>
      <c r="E81" s="15">
        <f t="shared" ref="E81:G81" si="76">E80-D80</f>
        <v>34.463056010484024</v>
      </c>
      <c r="F81" s="15">
        <f t="shared" si="76"/>
        <v>32.023878598906663</v>
      </c>
      <c r="G81" s="15">
        <f t="shared" si="76"/>
        <v>32.180800159759485</v>
      </c>
      <c r="H81" s="15">
        <f t="shared" ref="H81" si="77">H80-G80</f>
        <v>41.475154900582595</v>
      </c>
      <c r="I81" s="15">
        <f t="shared" ref="I81" si="78">I80-H80</f>
        <v>36.493444924527353</v>
      </c>
      <c r="J81" s="15">
        <f t="shared" ref="J81" si="79">J80-I80</f>
        <v>35.258874103988092</v>
      </c>
      <c r="K81" s="15">
        <f t="shared" ref="K81" si="80">K80-J80</f>
        <v>36.085325509079212</v>
      </c>
      <c r="L81" s="15">
        <f t="shared" ref="L81" si="81">L80-K80</f>
        <v>36.633975030259876</v>
      </c>
    </row>
    <row r="82" spans="2:13">
      <c r="B82" s="107" t="s">
        <v>132</v>
      </c>
      <c r="C82" s="108">
        <f>C77+C78-C79-C81</f>
        <v>52.975761708039272</v>
      </c>
      <c r="D82" s="108">
        <f t="shared" ref="D82:G82" si="82">D77+D78-D79-D81</f>
        <v>113.54309581676983</v>
      </c>
      <c r="E82" s="108">
        <f t="shared" si="82"/>
        <v>149.70490280777929</v>
      </c>
      <c r="F82" s="108">
        <f t="shared" si="82"/>
        <v>187.13748872894467</v>
      </c>
      <c r="G82" s="108">
        <f t="shared" si="82"/>
        <v>223.06773421177172</v>
      </c>
      <c r="H82" s="108">
        <f t="shared" ref="H82" si="83">H77+H78-H79-H81</f>
        <v>239.96998305779999</v>
      </c>
      <c r="I82" s="108">
        <f t="shared" ref="I82" si="84">I77+I78-I79-I81</f>
        <v>265.53413311486474</v>
      </c>
      <c r="J82" s="108">
        <f t="shared" ref="J82" si="85">J77+J78-J79-J81</f>
        <v>284.81125235775403</v>
      </c>
      <c r="K82" s="108">
        <f t="shared" ref="K82" si="86">K77+K78-K79-K81</f>
        <v>297.97454768759098</v>
      </c>
      <c r="L82" s="108">
        <f t="shared" ref="L82" si="87">L77+L78-L79-L81</f>
        <v>308.61346338537015</v>
      </c>
    </row>
    <row r="83" spans="2:13">
      <c r="B83" s="4"/>
      <c r="C83" s="18"/>
      <c r="D83" s="18"/>
      <c r="E83" s="18"/>
      <c r="F83" s="18"/>
      <c r="G83" s="18"/>
    </row>
    <row r="84" spans="2:13">
      <c r="B84" s="4"/>
      <c r="C84" s="18"/>
      <c r="D84" s="18"/>
      <c r="E84" s="18"/>
      <c r="F84" s="18"/>
      <c r="G84" s="18"/>
    </row>
    <row r="85" spans="2:13">
      <c r="B85" t="s">
        <v>50</v>
      </c>
      <c r="C85" s="8" t="s">
        <v>39</v>
      </c>
      <c r="D85" s="8" t="s">
        <v>40</v>
      </c>
      <c r="E85" s="8" t="s">
        <v>41</v>
      </c>
      <c r="F85" s="8" t="s">
        <v>42</v>
      </c>
      <c r="G85" s="8" t="s">
        <v>43</v>
      </c>
      <c r="H85" s="8" t="s">
        <v>72</v>
      </c>
      <c r="I85" s="8" t="s">
        <v>135</v>
      </c>
      <c r="J85" s="8" t="s">
        <v>136</v>
      </c>
      <c r="K85" s="8" t="s">
        <v>137</v>
      </c>
      <c r="L85" s="8" t="s">
        <v>138</v>
      </c>
      <c r="M85" s="8" t="s">
        <v>146</v>
      </c>
    </row>
    <row r="86" spans="2:13">
      <c r="B86" t="s">
        <v>132</v>
      </c>
      <c r="C86" s="15">
        <f>C82</f>
        <v>52.975761708039272</v>
      </c>
      <c r="D86" s="15">
        <f t="shared" ref="D86:L86" si="88">D82</f>
        <v>113.54309581676983</v>
      </c>
      <c r="E86" s="15">
        <f t="shared" si="88"/>
        <v>149.70490280777929</v>
      </c>
      <c r="F86" s="15">
        <f t="shared" si="88"/>
        <v>187.13748872894467</v>
      </c>
      <c r="G86" s="15">
        <f t="shared" si="88"/>
        <v>223.06773421177172</v>
      </c>
      <c r="H86" s="15">
        <f t="shared" si="88"/>
        <v>239.96998305779999</v>
      </c>
      <c r="I86" s="15">
        <f t="shared" si="88"/>
        <v>265.53413311486474</v>
      </c>
      <c r="J86" s="15">
        <f t="shared" si="88"/>
        <v>284.81125235775403</v>
      </c>
      <c r="K86" s="15">
        <f t="shared" si="88"/>
        <v>297.97454768759098</v>
      </c>
      <c r="L86" s="15">
        <f t="shared" si="88"/>
        <v>308.61346338537015</v>
      </c>
      <c r="M86" s="15">
        <f>L86*(1+C88)</f>
        <v>314.78573265307756</v>
      </c>
    </row>
    <row r="87" spans="2:13">
      <c r="B87" t="s">
        <v>65</v>
      </c>
      <c r="C87">
        <v>1</v>
      </c>
      <c r="D87">
        <v>2</v>
      </c>
      <c r="E87">
        <v>3</v>
      </c>
      <c r="F87">
        <v>4</v>
      </c>
      <c r="G87">
        <v>5</v>
      </c>
      <c r="H87">
        <v>6</v>
      </c>
      <c r="I87">
        <v>7</v>
      </c>
      <c r="J87">
        <v>8</v>
      </c>
      <c r="K87">
        <v>9</v>
      </c>
      <c r="L87">
        <v>10</v>
      </c>
    </row>
    <row r="88" spans="2:13">
      <c r="B88" t="s">
        <v>70</v>
      </c>
      <c r="C88" s="9">
        <v>0.02</v>
      </c>
    </row>
    <row r="89" spans="2:13">
      <c r="B89" t="s">
        <v>69</v>
      </c>
      <c r="C89" s="1">
        <f>C41</f>
        <v>8.3234859677126877E-2</v>
      </c>
    </row>
    <row r="90" spans="2:13">
      <c r="B90" t="s">
        <v>67</v>
      </c>
      <c r="C90" s="15">
        <f>1/(1+$C$89)^C87</f>
        <v>0.92316083725191767</v>
      </c>
      <c r="D90" s="15">
        <f t="shared" ref="D90:L90" si="89">1/(1+$C$89)^D87</f>
        <v>0.85222593143566172</v>
      </c>
      <c r="E90" s="15">
        <f t="shared" si="89"/>
        <v>0.78674160439194085</v>
      </c>
      <c r="F90" s="15">
        <f t="shared" si="89"/>
        <v>0.72628903821138113</v>
      </c>
      <c r="G90" s="15">
        <f t="shared" si="89"/>
        <v>0.67048159660210871</v>
      </c>
      <c r="H90" s="15">
        <f t="shared" si="89"/>
        <v>0.6189623520812052</v>
      </c>
      <c r="I90" s="15">
        <f t="shared" si="89"/>
        <v>0.57140180317470168</v>
      </c>
      <c r="J90" s="15">
        <f t="shared" si="89"/>
        <v>0.52749576702601308</v>
      </c>
      <c r="K90" s="15">
        <f t="shared" si="89"/>
        <v>0.48696343393457681</v>
      </c>
      <c r="L90" s="15">
        <f t="shared" si="89"/>
        <v>0.44954557138211282</v>
      </c>
    </row>
    <row r="91" spans="2:13">
      <c r="B91" t="s">
        <v>68</v>
      </c>
      <c r="C91" s="15">
        <f>C86*C90</f>
        <v>48.905148532451612</v>
      </c>
      <c r="D91" s="15">
        <f t="shared" ref="D91" si="90">D86*D90</f>
        <v>96.764370590535265</v>
      </c>
      <c r="E91" s="15">
        <f t="shared" ref="E91" si="91">E86*E90</f>
        <v>117.77907542033185</v>
      </c>
      <c r="F91" s="15">
        <f t="shared" ref="F91" si="92">F86*F90</f>
        <v>135.9159067022384</v>
      </c>
      <c r="G91" s="15">
        <f t="shared" ref="G91" si="93">G86*G90</f>
        <v>149.56281058472354</v>
      </c>
      <c r="H91" s="15">
        <f t="shared" ref="H91" si="94">H86*H90</f>
        <v>148.53238514234286</v>
      </c>
      <c r="I91" s="15">
        <f t="shared" ref="I91" si="95">I86*I90</f>
        <v>151.72668246626498</v>
      </c>
      <c r="J91" s="15">
        <f t="shared" ref="J91" si="96">J86*J90</f>
        <v>150.23673002009284</v>
      </c>
      <c r="K91" s="15">
        <f t="shared" ref="K91" si="97">K86*K90</f>
        <v>145.10270896705163</v>
      </c>
      <c r="L91" s="15">
        <f t="shared" ref="L91" si="98">L86*L90</f>
        <v>138.73581573378897</v>
      </c>
    </row>
    <row r="92" spans="2:13">
      <c r="B92" t="s">
        <v>73</v>
      </c>
      <c r="C92" s="15"/>
      <c r="D92" s="15"/>
      <c r="E92" s="15"/>
      <c r="F92" s="15"/>
      <c r="G92" s="15"/>
      <c r="L92">
        <f>M86/(C89-C88)</f>
        <v>4978.0411352275196</v>
      </c>
    </row>
    <row r="93" spans="2:13">
      <c r="B93" t="s">
        <v>75</v>
      </c>
      <c r="C93" s="15"/>
      <c r="D93" s="15"/>
      <c r="E93" s="15"/>
      <c r="F93" s="15"/>
      <c r="G93" s="15"/>
      <c r="L93">
        <f>L92*L90</f>
        <v>2237.8563464995168</v>
      </c>
    </row>
    <row r="94" spans="2:13">
      <c r="B94" t="s">
        <v>74</v>
      </c>
      <c r="C94" s="15">
        <f>C91+D91+E91+F91+G91+H91+I91+J91+K91+L91+L93</f>
        <v>3521.1179806593386</v>
      </c>
      <c r="D94" s="15"/>
      <c r="E94" s="15"/>
      <c r="F94" s="15"/>
      <c r="G94" s="15"/>
    </row>
    <row r="95" spans="2:13">
      <c r="B95" s="58" t="s">
        <v>77</v>
      </c>
      <c r="C95">
        <f>505+55-69</f>
        <v>491</v>
      </c>
    </row>
    <row r="96" spans="2:13">
      <c r="B96" s="58" t="s">
        <v>78</v>
      </c>
      <c r="C96">
        <f>105+44</f>
        <v>149</v>
      </c>
    </row>
    <row r="97" spans="2:5">
      <c r="B97" s="58" t="s">
        <v>76</v>
      </c>
      <c r="C97">
        <v>40</v>
      </c>
    </row>
    <row r="98" spans="2:5">
      <c r="B98" s="58" t="s">
        <v>79</v>
      </c>
      <c r="C98">
        <v>0</v>
      </c>
    </row>
    <row r="99" spans="2:5">
      <c r="B99" s="60" t="s">
        <v>80</v>
      </c>
      <c r="C99" s="61">
        <f>C94-C95-C96-C97-C98</f>
        <v>2841.1179806593386</v>
      </c>
    </row>
    <row r="100" spans="2:5">
      <c r="C100" s="15"/>
    </row>
    <row r="101" spans="2:5">
      <c r="B101" t="s">
        <v>81</v>
      </c>
      <c r="C101" s="15">
        <f>C99/(DCF!C5/1000000)</f>
        <v>9.5970695970695896</v>
      </c>
    </row>
    <row r="102" spans="2:5" ht="17" thickBot="1">
      <c r="B102" s="5" t="s">
        <v>82</v>
      </c>
      <c r="C102" s="104">
        <f>C101*DCF!C6</f>
        <v>104.79999999999991</v>
      </c>
    </row>
    <row r="103" spans="2:5">
      <c r="B103" s="4"/>
      <c r="C103" s="18"/>
    </row>
    <row r="104" spans="2:5" ht="19">
      <c r="B104" s="111" t="s">
        <v>144</v>
      </c>
      <c r="C104" s="112">
        <f>(L71/'Forecast Base'!E44)^(1/10)-1</f>
        <v>8.9077811909945348E-2</v>
      </c>
    </row>
    <row r="106" spans="2:5" ht="17" thickBot="1"/>
    <row r="107" spans="2:5">
      <c r="B107" s="217" t="s">
        <v>211</v>
      </c>
      <c r="C107" s="169" t="s">
        <v>212</v>
      </c>
      <c r="D107" s="169" t="s">
        <v>213</v>
      </c>
      <c r="E107" s="216" t="s">
        <v>214</v>
      </c>
    </row>
    <row r="108" spans="2:5">
      <c r="B108" s="200" t="s">
        <v>215</v>
      </c>
      <c r="C108" s="15">
        <f>L63</f>
        <v>2486.0391834359966</v>
      </c>
      <c r="D108" s="15">
        <f>L71</f>
        <v>3096.2348660559778</v>
      </c>
      <c r="E108" s="218">
        <f>(D108-C108)/C108</f>
        <v>0.24544894009941529</v>
      </c>
    </row>
    <row r="109" spans="2:5">
      <c r="B109" s="200" t="s">
        <v>207</v>
      </c>
      <c r="C109" s="12">
        <f>('Forecast Base'!L52/'Forecast Base'!C52)^(1/10)-1</f>
        <v>5.3230559437967839E-2</v>
      </c>
      <c r="D109" s="9">
        <f>C104</f>
        <v>8.9077811909945348E-2</v>
      </c>
      <c r="E109" s="219">
        <f>(D109-C109)*100</f>
        <v>3.5847252471977509</v>
      </c>
    </row>
    <row r="110" spans="2:5" ht="17" thickBot="1">
      <c r="B110" s="201" t="s">
        <v>208</v>
      </c>
      <c r="C110" s="64">
        <f>M14</f>
        <v>0.17690804179792721</v>
      </c>
      <c r="D110" s="64">
        <f>M16</f>
        <v>0.20162022643606647</v>
      </c>
      <c r="E110" s="220">
        <f>+(D110-C110)*100000</f>
        <v>2471.2184638139261</v>
      </c>
    </row>
  </sheetData>
  <mergeCells count="1">
    <mergeCell ref="B12:C12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FCDE-B3AC-C843-959A-6B39B4ED19DB}">
  <dimension ref="B2:N51"/>
  <sheetViews>
    <sheetView topLeftCell="A8" zoomScale="75" zoomScaleNormal="66" workbookViewId="0">
      <selection activeCell="D4" sqref="D4"/>
    </sheetView>
  </sheetViews>
  <sheetFormatPr baseColWidth="10" defaultRowHeight="16"/>
  <cols>
    <col min="2" max="2" width="31.33203125" customWidth="1"/>
    <col min="3" max="3" width="21.1640625" bestFit="1" customWidth="1"/>
    <col min="4" max="4" width="18.83203125" customWidth="1"/>
    <col min="5" max="5" width="17.1640625" customWidth="1"/>
    <col min="6" max="6" width="16.6640625" customWidth="1"/>
    <col min="7" max="7" width="12.33203125" customWidth="1"/>
    <col min="8" max="9" width="17.6640625" customWidth="1"/>
    <col min="12" max="12" width="12.1640625" hidden="1" customWidth="1"/>
  </cols>
  <sheetData>
    <row r="2" spans="2:4" ht="19">
      <c r="B2" s="232" t="s">
        <v>162</v>
      </c>
    </row>
    <row r="3" spans="2:4">
      <c r="B3" t="s">
        <v>163</v>
      </c>
    </row>
    <row r="5" spans="2:4">
      <c r="B5" s="7" t="s">
        <v>194</v>
      </c>
      <c r="C5" s="151">
        <f>('Historiske finansielle tall'!C4*('Historiske finansielle tall'!C5/1000000))/DCF!C6+DCF!C21+DCF!C22+DCF!C23</f>
        <v>3521.1179806593409</v>
      </c>
    </row>
    <row r="7" spans="2:4">
      <c r="B7" t="s">
        <v>148</v>
      </c>
      <c r="C7" t="s">
        <v>150</v>
      </c>
      <c r="D7" t="s">
        <v>151</v>
      </c>
    </row>
    <row r="8" spans="2:4">
      <c r="B8" t="s">
        <v>149</v>
      </c>
      <c r="C8" t="s">
        <v>45</v>
      </c>
      <c r="D8" t="s">
        <v>152</v>
      </c>
    </row>
    <row r="9" spans="2:4">
      <c r="B9" t="s">
        <v>153</v>
      </c>
      <c r="C9" t="s">
        <v>49</v>
      </c>
      <c r="D9" t="s">
        <v>154</v>
      </c>
    </row>
    <row r="10" spans="2:4">
      <c r="B10" t="s">
        <v>155</v>
      </c>
      <c r="C10" t="s">
        <v>49</v>
      </c>
      <c r="D10" t="s">
        <v>159</v>
      </c>
    </row>
    <row r="11" spans="2:4">
      <c r="B11" t="s">
        <v>156</v>
      </c>
      <c r="C11" t="s">
        <v>158</v>
      </c>
      <c r="D11" t="s">
        <v>160</v>
      </c>
    </row>
    <row r="12" spans="2:4">
      <c r="B12" t="s">
        <v>157</v>
      </c>
      <c r="C12" t="s">
        <v>48</v>
      </c>
      <c r="D12" t="s">
        <v>161</v>
      </c>
    </row>
    <row r="16" spans="2:4" ht="17" thickBot="1"/>
    <row r="17" spans="2:14" ht="17" thickBot="1">
      <c r="B17" s="173" t="s">
        <v>228</v>
      </c>
      <c r="C17" s="167"/>
      <c r="D17" s="168" t="s">
        <v>39</v>
      </c>
      <c r="E17" s="169"/>
      <c r="F17" s="169"/>
      <c r="G17" s="170"/>
      <c r="H17" s="169" t="s">
        <v>40</v>
      </c>
      <c r="I17" s="171"/>
      <c r="J17" s="171"/>
      <c r="K17" s="171"/>
      <c r="L17" s="172"/>
    </row>
    <row r="18" spans="2:14">
      <c r="B18" s="174" t="s">
        <v>148</v>
      </c>
      <c r="C18" s="175" t="s">
        <v>164</v>
      </c>
      <c r="D18" s="176" t="s">
        <v>198</v>
      </c>
      <c r="E18" s="177" t="s">
        <v>199</v>
      </c>
      <c r="F18" s="177" t="s">
        <v>179</v>
      </c>
      <c r="G18" s="178" t="s">
        <v>180</v>
      </c>
      <c r="H18" s="177" t="s">
        <v>178</v>
      </c>
      <c r="I18" s="177" t="s">
        <v>199</v>
      </c>
      <c r="J18" s="177" t="s">
        <v>181</v>
      </c>
      <c r="K18" s="177" t="s">
        <v>180</v>
      </c>
      <c r="L18" s="179" t="s">
        <v>182</v>
      </c>
    </row>
    <row r="19" spans="2:14">
      <c r="B19" s="27" t="s">
        <v>165</v>
      </c>
      <c r="C19" s="7" t="s">
        <v>167</v>
      </c>
      <c r="D19" s="126">
        <f>(1498-1318)/1318</f>
        <v>0.13657056145675264</v>
      </c>
      <c r="E19" s="11">
        <f>165.3/1498</f>
        <v>0.11034712950600802</v>
      </c>
      <c r="F19">
        <v>2.2400000000000002</v>
      </c>
      <c r="G19" s="10">
        <v>20.399999999999999</v>
      </c>
      <c r="H19" s="11">
        <f>(1784-1498)/1498</f>
        <v>0.19092122830440589</v>
      </c>
      <c r="I19" s="11">
        <f>273.1/1784</f>
        <v>0.15308295964125562</v>
      </c>
      <c r="J19">
        <f>1.84</f>
        <v>1.84</v>
      </c>
      <c r="K19">
        <v>12</v>
      </c>
      <c r="L19" s="37">
        <v>14.5</v>
      </c>
      <c r="N19" t="s">
        <v>170</v>
      </c>
    </row>
    <row r="20" spans="2:14">
      <c r="B20" s="27" t="s">
        <v>217</v>
      </c>
      <c r="C20" s="7" t="s">
        <v>167</v>
      </c>
      <c r="D20" s="126">
        <f>'Forecast Base'!F45</f>
        <v>0.12209249431387412</v>
      </c>
      <c r="E20" s="11">
        <f>'Forecast Base'!C56/'Forecast Base'!C52</f>
        <v>0.11015618947235661</v>
      </c>
      <c r="F20" s="15">
        <f>C5/'Forecast Base'!F44</f>
        <v>2.3790694715408645</v>
      </c>
      <c r="G20" s="16">
        <f>C5/'Forecast Base'!C56</f>
        <v>21.597238275366134</v>
      </c>
      <c r="H20" s="11">
        <f>'Forecast Base'!G45</f>
        <v>8.3142077241155771E-2</v>
      </c>
      <c r="I20" s="11">
        <f>'Forecast Base'!D56/'Forecast Base'!D52</f>
        <v>0.13126280062499157</v>
      </c>
      <c r="J20" s="15">
        <f>C5/'Forecast Base'!G44</f>
        <v>2.1964518981669818</v>
      </c>
      <c r="K20" s="15">
        <f>C5/'Forecast Base'!D56</f>
        <v>16.733239636125759</v>
      </c>
      <c r="L20" s="26"/>
    </row>
    <row r="21" spans="2:14">
      <c r="B21" s="130" t="s">
        <v>149</v>
      </c>
      <c r="C21" s="131" t="s">
        <v>168</v>
      </c>
      <c r="D21" s="127">
        <f>(123.6-90.35)/90.35</f>
        <v>0.36801328168234643</v>
      </c>
      <c r="E21" s="124">
        <f>0.7215/123.6</f>
        <v>5.8373786407766998E-3</v>
      </c>
      <c r="F21" s="97">
        <v>1.93</v>
      </c>
      <c r="G21" s="128">
        <v>330</v>
      </c>
      <c r="H21" s="124">
        <f>(267.6-123.6)/123.6</f>
        <v>1.1650485436893208</v>
      </c>
      <c r="I21" s="124">
        <f>54.12/267.6</f>
        <v>0.20224215246636768</v>
      </c>
      <c r="J21" s="97">
        <v>0.99</v>
      </c>
      <c r="K21" s="97">
        <v>4.91</v>
      </c>
      <c r="L21" s="125">
        <v>5.04</v>
      </c>
      <c r="N21" t="s">
        <v>173</v>
      </c>
    </row>
    <row r="22" spans="2:14">
      <c r="B22" s="27" t="s">
        <v>153</v>
      </c>
      <c r="C22" s="7" t="s">
        <v>169</v>
      </c>
      <c r="D22" s="126">
        <f>(4028-3798)/3798</f>
        <v>6.055818852027383E-2</v>
      </c>
      <c r="E22" s="11">
        <f>477/4028</f>
        <v>0.11842105263157894</v>
      </c>
      <c r="F22">
        <v>2.12</v>
      </c>
      <c r="G22" s="10">
        <v>17.899999999999999</v>
      </c>
      <c r="H22" s="11">
        <f>(4225-4028)/4028</f>
        <v>4.8907646474677262E-2</v>
      </c>
      <c r="I22" s="11">
        <f>(554.9/4225)</f>
        <v>0.13133727810650886</v>
      </c>
      <c r="J22">
        <v>1.95</v>
      </c>
      <c r="K22">
        <v>14.8</v>
      </c>
      <c r="L22" s="37">
        <v>21.5</v>
      </c>
      <c r="N22" t="s">
        <v>175</v>
      </c>
    </row>
    <row r="23" spans="2:14">
      <c r="B23" s="27" t="s">
        <v>155</v>
      </c>
      <c r="C23" s="7" t="s">
        <v>169</v>
      </c>
      <c r="D23" s="126">
        <f>(5851-5495)/5495</f>
        <v>6.4786169244767974E-2</v>
      </c>
      <c r="E23" s="11">
        <f>762.5/5851</f>
        <v>0.1303196034865835</v>
      </c>
      <c r="F23">
        <v>1.66</v>
      </c>
      <c r="G23" s="10">
        <v>12.7</v>
      </c>
      <c r="H23" s="11">
        <f>(6098-5851)/5851</f>
        <v>4.2215005981883436E-2</v>
      </c>
      <c r="I23" s="11">
        <f>825.7/6098</f>
        <v>0.1354050508363398</v>
      </c>
      <c r="J23">
        <v>1.55</v>
      </c>
      <c r="K23">
        <v>11.5</v>
      </c>
      <c r="L23" s="37">
        <v>17.7</v>
      </c>
      <c r="N23" t="s">
        <v>174</v>
      </c>
    </row>
    <row r="24" spans="2:14">
      <c r="B24" s="27" t="s">
        <v>166</v>
      </c>
      <c r="C24" s="7" t="s">
        <v>169</v>
      </c>
      <c r="D24" s="126">
        <f>(5791-5664)/5664</f>
        <v>2.2422316384180793E-2</v>
      </c>
      <c r="E24" s="11">
        <f>437.6/5791</f>
        <v>7.5565532723191164E-2</v>
      </c>
      <c r="F24">
        <v>0.53</v>
      </c>
      <c r="G24" s="10">
        <v>7.01</v>
      </c>
      <c r="H24" s="11">
        <f>(6104-5791)/5791</f>
        <v>5.4049386979796235E-2</v>
      </c>
      <c r="I24" s="11">
        <f>479.5/6104</f>
        <v>7.8555045871559634E-2</v>
      </c>
      <c r="J24">
        <v>0.48</v>
      </c>
      <c r="K24">
        <v>6.13</v>
      </c>
      <c r="L24" s="37">
        <v>10.3</v>
      </c>
      <c r="N24" t="s">
        <v>176</v>
      </c>
    </row>
    <row r="25" spans="2:14" ht="17" thickBot="1">
      <c r="B25" s="27" t="s">
        <v>157</v>
      </c>
      <c r="C25" s="7" t="s">
        <v>169</v>
      </c>
      <c r="D25" s="126">
        <f>(8237-7883)/7883</f>
        <v>4.4906761385259418E-2</v>
      </c>
      <c r="E25" s="11">
        <f>650.2/8237</f>
        <v>7.893650600946947E-2</v>
      </c>
      <c r="F25">
        <v>0.89</v>
      </c>
      <c r="G25" s="10">
        <v>11.2</v>
      </c>
      <c r="H25" s="11">
        <f>(8824-8237)/8237</f>
        <v>7.1263809639431838E-2</v>
      </c>
      <c r="I25" s="11">
        <f>746.9/8824</f>
        <v>8.4644152311876691E-2</v>
      </c>
      <c r="J25">
        <v>0.8</v>
      </c>
      <c r="K25">
        <v>9.4499999999999993</v>
      </c>
      <c r="L25" s="37">
        <v>14.1</v>
      </c>
      <c r="N25" t="s">
        <v>177</v>
      </c>
    </row>
    <row r="26" spans="2:14" ht="17" thickBot="1">
      <c r="B26" s="184" t="s">
        <v>171</v>
      </c>
      <c r="C26" s="190"/>
      <c r="D26" s="191">
        <f>MEDIAN(D22:D25)</f>
        <v>5.2732474952766624E-2</v>
      </c>
      <c r="E26" s="192">
        <f t="shared" ref="E26:L26" si="0">MEDIAN(E22:E25)</f>
        <v>9.8678779320524213E-2</v>
      </c>
      <c r="F26" s="136">
        <f t="shared" si="0"/>
        <v>1.2749999999999999</v>
      </c>
      <c r="G26" s="129">
        <f t="shared" si="0"/>
        <v>11.95</v>
      </c>
      <c r="H26" s="192">
        <f t="shared" si="0"/>
        <v>5.1478516727236745E-2</v>
      </c>
      <c r="I26" s="192">
        <f t="shared" si="0"/>
        <v>0.10799071520919278</v>
      </c>
      <c r="J26" s="136">
        <f t="shared" si="0"/>
        <v>1.175</v>
      </c>
      <c r="K26" s="136">
        <f t="shared" si="0"/>
        <v>10.475</v>
      </c>
      <c r="L26" s="137">
        <f t="shared" si="0"/>
        <v>15.899999999999999</v>
      </c>
    </row>
    <row r="27" spans="2:14">
      <c r="B27" s="159" t="s">
        <v>172</v>
      </c>
      <c r="C27" s="221" t="s">
        <v>216</v>
      </c>
      <c r="D27" s="155">
        <f>100000*(D19-D26)</f>
        <v>8383.8086503986033</v>
      </c>
      <c r="E27" s="155">
        <f>100000*(E19-E26)</f>
        <v>1166.8350185483803</v>
      </c>
      <c r="F27" s="161">
        <f>F19/F26-1</f>
        <v>0.75686274509803941</v>
      </c>
      <c r="G27" s="162">
        <f>G19/G26-1</f>
        <v>0.70711297071129708</v>
      </c>
      <c r="H27" s="153">
        <f>(H19-H26)*100000</f>
        <v>13944.271157716914</v>
      </c>
      <c r="I27" s="153">
        <f>(I19-I26)*100000</f>
        <v>4509.2244432062844</v>
      </c>
      <c r="J27" s="161">
        <f>J19/J26-1</f>
        <v>0.56595744680851068</v>
      </c>
      <c r="K27" s="161">
        <f>K19/K26-1</f>
        <v>0.14558472553699287</v>
      </c>
      <c r="L27" s="165">
        <f>L19/L26-1</f>
        <v>-8.8050314465408674E-2</v>
      </c>
    </row>
    <row r="28" spans="2:14" ht="17" thickBot="1">
      <c r="B28" s="158" t="s">
        <v>218</v>
      </c>
      <c r="C28" s="166" t="s">
        <v>216</v>
      </c>
      <c r="D28" s="156">
        <f>100000*(D20-D26)</f>
        <v>6936.0019361107497</v>
      </c>
      <c r="E28" s="157">
        <f>(E20-E26)*100000</f>
        <v>1147.7410151832401</v>
      </c>
      <c r="F28" s="163">
        <f>F20/F26-1</f>
        <v>0.8659368404242076</v>
      </c>
      <c r="G28" s="164">
        <f>G20/G26-1</f>
        <v>0.80730027408921634</v>
      </c>
      <c r="H28" s="154">
        <f>(H20-H26)*100000</f>
        <v>3166.3560513919024</v>
      </c>
      <c r="I28" s="154">
        <f>(I20-I26)*100000</f>
        <v>2327.2085415798797</v>
      </c>
      <c r="J28" s="163">
        <f>J20/J26-1</f>
        <v>0.86932076439743122</v>
      </c>
      <c r="K28" s="163">
        <f>K20/K26-1</f>
        <v>0.59744531132465495</v>
      </c>
      <c r="L28" s="160" t="s">
        <v>125</v>
      </c>
    </row>
    <row r="33" spans="2:8" ht="17" thickBot="1">
      <c r="B33" s="180" t="s">
        <v>200</v>
      </c>
      <c r="C33" s="180"/>
      <c r="D33" s="180"/>
      <c r="E33" s="180"/>
      <c r="F33" s="180"/>
      <c r="G33" s="180"/>
      <c r="H33" s="180"/>
    </row>
    <row r="34" spans="2:8" ht="17" thickBot="1">
      <c r="B34" s="138" t="s">
        <v>183</v>
      </c>
      <c r="C34" s="136" t="s">
        <v>185</v>
      </c>
      <c r="D34" s="136" t="s">
        <v>186</v>
      </c>
      <c r="E34" s="136" t="s">
        <v>221</v>
      </c>
      <c r="F34" s="136" t="s">
        <v>222</v>
      </c>
      <c r="G34" s="136" t="s">
        <v>188</v>
      </c>
      <c r="H34" s="137" t="s">
        <v>187</v>
      </c>
    </row>
    <row r="35" spans="2:8">
      <c r="B35" s="41" t="s">
        <v>219</v>
      </c>
      <c r="C35" s="132">
        <f>K26</f>
        <v>10.475</v>
      </c>
      <c r="D35" s="132">
        <f>'Forecast Base'!D56</f>
        <v>210.4265556</v>
      </c>
      <c r="E35" s="132">
        <f>D35*C35</f>
        <v>2204.2181699100001</v>
      </c>
      <c r="F35" s="132">
        <f>E35-DCF!$C$21-DCF!$C$22-DCF!$C$23-DCF!$C$24</f>
        <v>1524.2181699100001</v>
      </c>
      <c r="G35" s="132">
        <f>F35/(DCF!C5/1000000)</f>
        <v>5.1486872271138786</v>
      </c>
      <c r="H35" s="133">
        <f>G35*DCF!C6</f>
        <v>56.223664520083553</v>
      </c>
    </row>
    <row r="36" spans="2:8">
      <c r="B36" s="41" t="s">
        <v>220</v>
      </c>
      <c r="C36">
        <v>12</v>
      </c>
      <c r="D36" s="132">
        <f>D35</f>
        <v>210.4265556</v>
      </c>
      <c r="E36" s="132">
        <f>D36*C36</f>
        <v>2525.1186671999999</v>
      </c>
      <c r="F36" s="132">
        <f>E36-DCF!$C$21-DCF!$C$22-DCF!$C$23-DCF!$C$24</f>
        <v>1845.1186671999999</v>
      </c>
      <c r="G36" s="132">
        <f>F36/(DCF!C5/1000000)</f>
        <v>6.2326634742078699</v>
      </c>
      <c r="H36" s="133">
        <f>G36*DCF!C6</f>
        <v>68.060685138349939</v>
      </c>
    </row>
    <row r="37" spans="2:8" ht="17" thickBot="1">
      <c r="B37" s="42" t="s">
        <v>184</v>
      </c>
      <c r="C37" s="134">
        <f>DCF!C20/'Forecast Base'!D56</f>
        <v>14.529843751059929</v>
      </c>
      <c r="D37" s="134">
        <f>D36</f>
        <v>210.4265556</v>
      </c>
      <c r="E37" s="134">
        <f>D37*C37</f>
        <v>3057.4649739417246</v>
      </c>
      <c r="F37" s="134">
        <f>E37-DCF!$C$21-DCF!$C$22-DCF!$C$23-DCF!$C$24</f>
        <v>2377.4649739417246</v>
      </c>
      <c r="G37" s="134">
        <f>F37/(DCF!C5/1000000)</f>
        <v>8.0308867758525455</v>
      </c>
      <c r="H37" s="135">
        <f>G37*DCF!C6</f>
        <v>87.697283592309802</v>
      </c>
    </row>
    <row r="46" spans="2:8" ht="17" thickBot="1"/>
    <row r="47" spans="2:8" ht="17" thickBot="1">
      <c r="B47" s="186" t="s">
        <v>223</v>
      </c>
      <c r="C47" s="188" t="s">
        <v>81</v>
      </c>
    </row>
    <row r="48" spans="2:8">
      <c r="B48" s="41" t="s">
        <v>224</v>
      </c>
      <c r="C48" s="222">
        <f>DCF!$D$99</f>
        <v>87.697283592309802</v>
      </c>
    </row>
    <row r="49" spans="2:3">
      <c r="B49" s="41" t="s">
        <v>225</v>
      </c>
      <c r="C49" s="222">
        <f>H35</f>
        <v>56.223664520083553</v>
      </c>
    </row>
    <row r="50" spans="2:3">
      <c r="B50" s="41" t="s">
        <v>226</v>
      </c>
      <c r="C50" s="222">
        <f>H36</f>
        <v>68.060685138349939</v>
      </c>
    </row>
    <row r="51" spans="2:3" ht="17" thickBot="1">
      <c r="B51" s="42" t="s">
        <v>227</v>
      </c>
      <c r="C51" s="199">
        <f>'Historiske finansielle tall'!$C$4</f>
        <v>104.8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adee44b2-91fc-40f1-abdd-9cc29351b5fd}" enabled="0" method="" siteId="{adee44b2-91fc-40f1-abdd-9cc29351b5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Historiske finansielle tall</vt:lpstr>
      <vt:lpstr>WACC</vt:lpstr>
      <vt:lpstr>Antagelser</vt:lpstr>
      <vt:lpstr>Forecast Base</vt:lpstr>
      <vt:lpstr>Forecast Bear</vt:lpstr>
      <vt:lpstr>Forecast Bull</vt:lpstr>
      <vt:lpstr>DCF</vt:lpstr>
      <vt:lpstr>Reverse DCF</vt:lpstr>
      <vt:lpstr>Peer 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Furnes, Christian</dc:creator>
  <cp:lastModifiedBy>(Student) Furnes, Christian</cp:lastModifiedBy>
  <dcterms:created xsi:type="dcterms:W3CDTF">2026-07-23T12:01:50Z</dcterms:created>
  <dcterms:modified xsi:type="dcterms:W3CDTF">2026-08-04T09:05:04Z</dcterms:modified>
</cp:coreProperties>
</file>